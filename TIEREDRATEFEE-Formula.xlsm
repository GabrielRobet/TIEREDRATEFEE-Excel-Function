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briel\Downloads\"/>
    </mc:Choice>
  </mc:AlternateContent>
  <xr:revisionPtr revIDLastSave="0" documentId="13_ncr:1_{11D3648C-0C9F-4F86-9AE7-817099EB95A2}" xr6:coauthVersionLast="40" xr6:coauthVersionMax="40" xr10:uidLastSave="{00000000-0000-0000-0000-000000000000}"/>
  <bookViews>
    <workbookView xWindow="0" yWindow="0" windowWidth="23040" windowHeight="8796" xr2:uid="{87E5771F-0121-4A08-B952-8528B9C3E4B6}"/>
  </bookViews>
  <sheets>
    <sheet name="Example1" sheetId="2" r:id="rId1"/>
    <sheet name="Example2" sheetId="3" r:id="rId2"/>
    <sheet name="Example3" sheetId="4" r:id="rId3"/>
  </sheets>
  <functionGroups builtInGroupCount="19"/>
  <definedNames>
    <definedName name="DateEnd" localSheetId="1">Example2!$G$5</definedName>
    <definedName name="DateEnd1" localSheetId="2">Example3!$G$5</definedName>
    <definedName name="DateEnd2">Example3!$J$5</definedName>
    <definedName name="DateStart" localSheetId="1">Example2!$F$5</definedName>
    <definedName name="DateStart1" localSheetId="2">Example3!$F$5</definedName>
    <definedName name="DateStart2">Example3!$I$5</definedName>
    <definedName name="MinimumFee" localSheetId="0">Example1!$F$4</definedName>
    <definedName name="MinimumFee" localSheetId="1">Example2!$G$7</definedName>
    <definedName name="MinimumFee1" localSheetId="2">Example3!$G$7</definedName>
    <definedName name="MinimumFee2">Example3!$J$7</definedName>
    <definedName name="RangeDates" localSheetId="1">Example2!$B$5:$B$255</definedName>
    <definedName name="RangeDates" localSheetId="2">Example3!$B$5:$B$255</definedName>
    <definedName name="RangeDays" localSheetId="1">Example2!$C$5:$C$255</definedName>
    <definedName name="RangeDays" localSheetId="2">Example3!$C$5:$C$255</definedName>
    <definedName name="Rates" localSheetId="0">Example1!$F$7:$F$11</definedName>
    <definedName name="Rates" localSheetId="1">Example2!$G$10:$G$14</definedName>
    <definedName name="Rates1" localSheetId="2">Example3!$G$10:$G$14</definedName>
    <definedName name="Rates2">Example3!$J$10:$J$14</definedName>
    <definedName name="Thresholds" localSheetId="0">Example1!$E$7:$E$11</definedName>
    <definedName name="Thresholds" localSheetId="1">Example2!$F$10:$F$14</definedName>
    <definedName name="Thresholds1" localSheetId="2">Example3!$F$10:$F$14</definedName>
    <definedName name="Thresholds2">Example3!$I$10:$I$14</definedName>
    <definedName name="Volumes" localSheetId="0">Example1!$C$4</definedName>
    <definedName name="Volumes" localSheetId="1">Example2!$D$5:$D$255</definedName>
    <definedName name="Volumes" localSheetId="2">Example3!$D$5:$D$255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54" i="4" l="1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H4" i="2"/>
  <c r="L4" i="4"/>
  <c r="H6" i="2"/>
  <c r="L6" i="4"/>
  <c r="I4" i="3"/>
  <c r="I6" i="3"/>
</calcChain>
</file>

<file path=xl/sharedStrings.xml><?xml version="1.0" encoding="utf-8"?>
<sst xmlns="http://schemas.openxmlformats.org/spreadsheetml/2006/main" count="41" uniqueCount="16">
  <si>
    <t>VOLUMES</t>
  </si>
  <si>
    <t>FEE SCHEDULE</t>
  </si>
  <si>
    <t>FORMULA</t>
  </si>
  <si>
    <t>Volume (€)</t>
  </si>
  <si>
    <t>MinimumFee (€)</t>
  </si>
  <si>
    <t>with ranges</t>
  </si>
  <si>
    <t>RangeThresholds (€)</t>
  </si>
  <si>
    <t>RangeRates</t>
  </si>
  <si>
    <t>with arrays</t>
  </si>
  <si>
    <t>RangeDates</t>
  </si>
  <si>
    <t>RangeDays</t>
  </si>
  <si>
    <t>RangeVolumes (€)</t>
  </si>
  <si>
    <t>DateStart</t>
  </si>
  <si>
    <t>DateEnd</t>
  </si>
  <si>
    <t>FEE SCHEDULE 1</t>
  </si>
  <si>
    <t>FEE SCHEDULE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</si>
</sst>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70C0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</cellStyleXfs>
  <cellXfs count="22">
    <xf numFmtId="0" fontId="0" fillId="0" borderId="0" xfId="0"/>
    <xf numFmtId="14" fontId="4" fillId="3" borderId="1" xfId="2" applyNumberFormat="1" applyFont="1" applyBorder="1" applyAlignment="1">
      <alignment horizontal="center" vertical="center"/>
    </xf>
    <xf numFmtId="3" fontId="1" fillId="2" borderId="1" xfId="1" applyNumberFormat="1" applyBorder="1" applyAlignment="1"/>
    <xf numFmtId="3" fontId="1" fillId="2" borderId="5" xfId="1" applyNumberFormat="1" applyBorder="1" applyAlignment="1"/>
    <xf numFmtId="3" fontId="3" fillId="4" borderId="0" xfId="0" applyNumberFormat="1" applyFont="1" applyFill="1" applyBorder="1"/>
    <xf numFmtId="0" fontId="5" fillId="0" borderId="0" xfId="0" applyFont="1" applyAlignment="1">
      <alignment horizontal="left" indent="1"/>
    </xf>
    <xf numFmtId="0" fontId="0" fillId="0" borderId="0" xfId="0" applyFill="1"/>
    <xf numFmtId="3" fontId="1" fillId="2" borderId="6" xfId="1" applyNumberFormat="1" applyBorder="1" applyAlignment="1"/>
    <xf numFmtId="164" fontId="1" fillId="2" borderId="6" xfId="1" applyNumberFormat="1" applyBorder="1"/>
    <xf numFmtId="3" fontId="1" fillId="2" borderId="7" xfId="1" applyNumberFormat="1" applyBorder="1" applyAlignment="1"/>
    <xf numFmtId="164" fontId="1" fillId="2" borderId="7" xfId="1" applyNumberFormat="1" applyBorder="1"/>
    <xf numFmtId="14" fontId="0" fillId="0" borderId="0" xfId="0" applyNumberFormat="1"/>
    <xf numFmtId="14" fontId="1" fillId="2" borderId="6" xfId="1" applyNumberFormat="1" applyBorder="1" applyAlignment="1"/>
    <xf numFmtId="0" fontId="1" fillId="2" borderId="6" xfId="1" applyNumberFormat="1" applyBorder="1" applyAlignment="1"/>
    <xf numFmtId="14" fontId="1" fillId="2" borderId="1" xfId="1" applyNumberFormat="1" applyBorder="1" applyAlignment="1"/>
    <xf numFmtId="14" fontId="1" fillId="2" borderId="7" xfId="1" applyNumberFormat="1" applyBorder="1" applyAlignment="1"/>
    <xf numFmtId="0" fontId="1" fillId="2" borderId="7" xfId="1" applyNumberFormat="1" applyBorder="1" applyAlignment="1"/>
    <xf numFmtId="0" fontId="0" fillId="0" borderId="0" xfId="0" applyNumberFormat="1"/>
    <xf numFmtId="4" fontId="0" fillId="0" borderId="0" xfId="0" applyNumberFormat="1"/>
    <xf numFmtId="14" fontId="2" fillId="3" borderId="3" xfId="2" applyNumberFormat="1" applyBorder="1" applyAlignment="1">
      <alignment horizontal="center" vertical="center"/>
    </xf>
    <xf numFmtId="14" fontId="2" fillId="3" borderId="4" xfId="2" applyNumberFormat="1" applyBorder="1" applyAlignment="1">
      <alignment horizontal="center" vertical="center"/>
    </xf>
    <xf numFmtId="14" fontId="2" fillId="3" borderId="8" xfId="2" applyNumberFormat="1" applyBorder="1" applyAlignment="1">
      <alignment horizontal="center" vertical="center"/>
    </xf>
  </cellXfs>
  <cellStyles count="3"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5E182-75AE-4402-8F2A-6E32AEEABBA8}">
  <sheetPr codeName="Tabelle4"/>
  <dimension ref="A1:T255"/>
  <sheetViews>
    <sheetView showGridLines="0" tabSelected="1" workbookViewId="0">
      <selection activeCell="H4" sqref="H4"/>
    </sheetView>
  </sheetViews>
  <sheetFormatPr defaultColWidth="17.109375" defaultRowHeight="14.4" x14ac:dyDescent="0.3"/>
  <cols>
    <col min="1" max="1" width="2.88671875" customWidth="1"/>
    <col min="2" max="3" width="17.109375" style="11" customWidth="1"/>
    <col min="4" max="4" width="8.5546875" customWidth="1"/>
    <col min="5" max="6" width="17.109375" customWidth="1"/>
    <col min="7" max="7" width="8.5546875" customWidth="1"/>
    <col min="8" max="9" width="17.109375" customWidth="1"/>
  </cols>
  <sheetData>
    <row r="1" spans="1:20" x14ac:dyDescent="0.3">
      <c r="B1"/>
      <c r="C1"/>
    </row>
    <row r="2" spans="1:20" x14ac:dyDescent="0.3">
      <c r="B2" s="19" t="s">
        <v>0</v>
      </c>
      <c r="C2" s="20"/>
      <c r="E2" s="19" t="s">
        <v>1</v>
      </c>
      <c r="F2" s="20"/>
      <c r="H2" s="19" t="s">
        <v>2</v>
      </c>
      <c r="I2" s="20"/>
    </row>
    <row r="3" spans="1:20" x14ac:dyDescent="0.3">
      <c r="B3"/>
      <c r="C3"/>
    </row>
    <row r="4" spans="1:20" s="6" customFormat="1" x14ac:dyDescent="0.3">
      <c r="A4"/>
      <c r="B4" s="1" t="s">
        <v>3</v>
      </c>
      <c r="C4" s="2">
        <v>543333200</v>
      </c>
      <c r="D4"/>
      <c r="E4" s="1" t="s">
        <v>4</v>
      </c>
      <c r="F4" s="3">
        <v>20000</v>
      </c>
      <c r="G4"/>
      <c r="H4" s="4">
        <f>TIEREDRATEFEE(Volumes,MinimumFee,Thresholds,Rates)</f>
        <v>278666.64</v>
      </c>
      <c r="I4" s="5" t="s">
        <v>5</v>
      </c>
      <c r="L4"/>
      <c r="M4"/>
      <c r="N4"/>
      <c r="O4"/>
      <c r="P4"/>
      <c r="Q4"/>
      <c r="R4"/>
      <c r="S4"/>
      <c r="T4"/>
    </row>
    <row r="5" spans="1:20" ht="15" customHeight="1" x14ac:dyDescent="0.3">
      <c r="B5"/>
      <c r="C5"/>
    </row>
    <row r="6" spans="1:20" ht="15" customHeight="1" x14ac:dyDescent="0.3">
      <c r="B6"/>
      <c r="C6"/>
      <c r="E6" s="1" t="s">
        <v>6</v>
      </c>
      <c r="F6" s="1" t="s">
        <v>7</v>
      </c>
      <c r="H6" s="4">
        <f>TIEREDRATEFEE(Volumes,20000,{0;100000000;250000000;500000000;1000000000},{0.0008;0.0006;0.0004;0.0002;0.0001})</f>
        <v>278666.64</v>
      </c>
      <c r="I6" s="5" t="s">
        <v>8</v>
      </c>
    </row>
    <row r="7" spans="1:20" ht="15" customHeight="1" x14ac:dyDescent="0.3">
      <c r="B7"/>
      <c r="C7"/>
      <c r="E7" s="7">
        <v>0</v>
      </c>
      <c r="F7" s="8">
        <v>8.0000000000000004E-4</v>
      </c>
    </row>
    <row r="8" spans="1:20" ht="15" customHeight="1" x14ac:dyDescent="0.3">
      <c r="B8"/>
      <c r="C8"/>
      <c r="E8" s="7">
        <v>100000000</v>
      </c>
      <c r="F8" s="8">
        <v>5.9999999999999995E-4</v>
      </c>
    </row>
    <row r="9" spans="1:20" ht="15" customHeight="1" x14ac:dyDescent="0.3">
      <c r="B9"/>
      <c r="C9"/>
      <c r="E9" s="7">
        <v>250000000</v>
      </c>
      <c r="F9" s="8">
        <v>4.0000000000000002E-4</v>
      </c>
    </row>
    <row r="10" spans="1:20" ht="15" customHeight="1" x14ac:dyDescent="0.3">
      <c r="B10"/>
      <c r="C10"/>
      <c r="E10" s="7">
        <v>500000000</v>
      </c>
      <c r="F10" s="8">
        <v>2.0000000000000001E-4</v>
      </c>
    </row>
    <row r="11" spans="1:20" ht="15" customHeight="1" x14ac:dyDescent="0.3">
      <c r="B11"/>
      <c r="C11"/>
      <c r="E11" s="9">
        <v>1000000000</v>
      </c>
      <c r="F11" s="10">
        <v>1E-4</v>
      </c>
    </row>
    <row r="12" spans="1:20" ht="15" customHeight="1" x14ac:dyDescent="0.3">
      <c r="B12"/>
      <c r="C12"/>
    </row>
    <row r="13" spans="1:20" ht="15" customHeight="1" x14ac:dyDescent="0.3">
      <c r="B13"/>
      <c r="C13"/>
    </row>
    <row r="14" spans="1:20" x14ac:dyDescent="0.3">
      <c r="B14"/>
      <c r="C14"/>
    </row>
    <row r="15" spans="1:20" x14ac:dyDescent="0.3">
      <c r="B15"/>
      <c r="C15"/>
    </row>
    <row r="16" spans="1:20" x14ac:dyDescent="0.3">
      <c r="B16"/>
      <c r="C16"/>
    </row>
    <row r="17" spans="2:3" x14ac:dyDescent="0.3">
      <c r="B17"/>
      <c r="C17"/>
    </row>
    <row r="18" spans="2:3" x14ac:dyDescent="0.3">
      <c r="B18"/>
      <c r="C18"/>
    </row>
    <row r="19" spans="2:3" x14ac:dyDescent="0.3">
      <c r="B19"/>
      <c r="C19"/>
    </row>
    <row r="20" spans="2:3" x14ac:dyDescent="0.3">
      <c r="B20"/>
      <c r="C20"/>
    </row>
    <row r="21" spans="2:3" x14ac:dyDescent="0.3">
      <c r="B21"/>
      <c r="C21"/>
    </row>
    <row r="22" spans="2:3" x14ac:dyDescent="0.3">
      <c r="B22"/>
      <c r="C22"/>
    </row>
    <row r="23" spans="2:3" x14ac:dyDescent="0.3">
      <c r="B23"/>
      <c r="C23"/>
    </row>
    <row r="24" spans="2:3" x14ac:dyDescent="0.3">
      <c r="B24"/>
      <c r="C24"/>
    </row>
    <row r="25" spans="2:3" x14ac:dyDescent="0.3">
      <c r="B25"/>
      <c r="C25"/>
    </row>
    <row r="26" spans="2:3" x14ac:dyDescent="0.3">
      <c r="B26"/>
      <c r="C26"/>
    </row>
    <row r="27" spans="2:3" x14ac:dyDescent="0.3">
      <c r="B27"/>
      <c r="C27"/>
    </row>
    <row r="28" spans="2:3" x14ac:dyDescent="0.3">
      <c r="B28"/>
      <c r="C28"/>
    </row>
    <row r="29" spans="2:3" x14ac:dyDescent="0.3">
      <c r="B29"/>
      <c r="C29"/>
    </row>
    <row r="30" spans="2:3" x14ac:dyDescent="0.3">
      <c r="B30"/>
      <c r="C30"/>
    </row>
    <row r="31" spans="2:3" x14ac:dyDescent="0.3">
      <c r="B31"/>
      <c r="C31"/>
    </row>
    <row r="32" spans="2:3" x14ac:dyDescent="0.3">
      <c r="B32"/>
      <c r="C32"/>
    </row>
    <row r="33" spans="2:3" x14ac:dyDescent="0.3">
      <c r="B33"/>
      <c r="C33"/>
    </row>
    <row r="34" spans="2:3" x14ac:dyDescent="0.3">
      <c r="B34"/>
      <c r="C34"/>
    </row>
    <row r="35" spans="2:3" x14ac:dyDescent="0.3">
      <c r="B35"/>
      <c r="C35"/>
    </row>
    <row r="36" spans="2:3" x14ac:dyDescent="0.3">
      <c r="B36"/>
      <c r="C36"/>
    </row>
    <row r="37" spans="2:3" x14ac:dyDescent="0.3">
      <c r="B37"/>
      <c r="C37"/>
    </row>
    <row r="38" spans="2:3" x14ac:dyDescent="0.3">
      <c r="B38"/>
      <c r="C38"/>
    </row>
    <row r="39" spans="2:3" x14ac:dyDescent="0.3">
      <c r="B39"/>
      <c r="C39"/>
    </row>
    <row r="40" spans="2:3" x14ac:dyDescent="0.3">
      <c r="B40"/>
      <c r="C40"/>
    </row>
    <row r="41" spans="2:3" x14ac:dyDescent="0.3">
      <c r="B41"/>
      <c r="C41"/>
    </row>
    <row r="42" spans="2:3" x14ac:dyDescent="0.3">
      <c r="B42"/>
      <c r="C42"/>
    </row>
    <row r="43" spans="2:3" x14ac:dyDescent="0.3">
      <c r="B43"/>
      <c r="C43"/>
    </row>
    <row r="44" spans="2:3" x14ac:dyDescent="0.3">
      <c r="B44"/>
      <c r="C44"/>
    </row>
    <row r="45" spans="2:3" x14ac:dyDescent="0.3">
      <c r="B45"/>
      <c r="C45"/>
    </row>
    <row r="46" spans="2:3" x14ac:dyDescent="0.3">
      <c r="B46"/>
      <c r="C46"/>
    </row>
    <row r="47" spans="2:3" x14ac:dyDescent="0.3">
      <c r="B47"/>
      <c r="C47"/>
    </row>
    <row r="48" spans="2:3" x14ac:dyDescent="0.3">
      <c r="B48"/>
      <c r="C48"/>
    </row>
    <row r="49" spans="2:3" x14ac:dyDescent="0.3">
      <c r="B49"/>
      <c r="C49"/>
    </row>
    <row r="50" spans="2:3" x14ac:dyDescent="0.3">
      <c r="B50"/>
      <c r="C50"/>
    </row>
    <row r="51" spans="2:3" x14ac:dyDescent="0.3">
      <c r="B51"/>
      <c r="C51"/>
    </row>
    <row r="52" spans="2:3" x14ac:dyDescent="0.3">
      <c r="B52"/>
      <c r="C52"/>
    </row>
    <row r="53" spans="2:3" x14ac:dyDescent="0.3">
      <c r="B53"/>
      <c r="C53"/>
    </row>
    <row r="54" spans="2:3" x14ac:dyDescent="0.3">
      <c r="B54"/>
      <c r="C54"/>
    </row>
    <row r="55" spans="2:3" x14ac:dyDescent="0.3">
      <c r="B55"/>
      <c r="C55"/>
    </row>
    <row r="56" spans="2:3" x14ac:dyDescent="0.3">
      <c r="B56"/>
      <c r="C56"/>
    </row>
    <row r="57" spans="2:3" x14ac:dyDescent="0.3">
      <c r="B57"/>
      <c r="C57"/>
    </row>
    <row r="58" spans="2:3" x14ac:dyDescent="0.3">
      <c r="B58"/>
      <c r="C58"/>
    </row>
    <row r="59" spans="2:3" x14ac:dyDescent="0.3">
      <c r="B59"/>
      <c r="C59"/>
    </row>
    <row r="60" spans="2:3" x14ac:dyDescent="0.3">
      <c r="B60"/>
      <c r="C60"/>
    </row>
    <row r="61" spans="2:3" x14ac:dyDescent="0.3">
      <c r="B61"/>
      <c r="C61"/>
    </row>
    <row r="62" spans="2:3" x14ac:dyDescent="0.3">
      <c r="B62"/>
      <c r="C62"/>
    </row>
    <row r="63" spans="2:3" x14ac:dyDescent="0.3">
      <c r="B63"/>
      <c r="C63"/>
    </row>
    <row r="64" spans="2:3" x14ac:dyDescent="0.3">
      <c r="B64"/>
      <c r="C64"/>
    </row>
    <row r="65" spans="2:3" x14ac:dyDescent="0.3">
      <c r="B65"/>
      <c r="C65"/>
    </row>
    <row r="66" spans="2:3" x14ac:dyDescent="0.3">
      <c r="B66"/>
      <c r="C66"/>
    </row>
    <row r="67" spans="2:3" x14ac:dyDescent="0.3">
      <c r="B67"/>
      <c r="C67"/>
    </row>
    <row r="68" spans="2:3" x14ac:dyDescent="0.3">
      <c r="B68"/>
      <c r="C68"/>
    </row>
    <row r="69" spans="2:3" x14ac:dyDescent="0.3">
      <c r="B69"/>
      <c r="C69"/>
    </row>
    <row r="70" spans="2:3" x14ac:dyDescent="0.3">
      <c r="B70"/>
      <c r="C70"/>
    </row>
    <row r="71" spans="2:3" x14ac:dyDescent="0.3">
      <c r="B71"/>
      <c r="C71"/>
    </row>
    <row r="72" spans="2:3" x14ac:dyDescent="0.3">
      <c r="B72"/>
      <c r="C72"/>
    </row>
    <row r="73" spans="2:3" x14ac:dyDescent="0.3">
      <c r="B73"/>
      <c r="C73"/>
    </row>
    <row r="74" spans="2:3" x14ac:dyDescent="0.3">
      <c r="B74"/>
      <c r="C74"/>
    </row>
    <row r="75" spans="2:3" x14ac:dyDescent="0.3">
      <c r="B75"/>
      <c r="C75"/>
    </row>
    <row r="76" spans="2:3" x14ac:dyDescent="0.3">
      <c r="B76"/>
      <c r="C76"/>
    </row>
    <row r="77" spans="2:3" x14ac:dyDescent="0.3">
      <c r="B77"/>
      <c r="C77"/>
    </row>
    <row r="78" spans="2:3" x14ac:dyDescent="0.3">
      <c r="B78"/>
      <c r="C78"/>
    </row>
    <row r="79" spans="2:3" x14ac:dyDescent="0.3">
      <c r="B79"/>
      <c r="C79"/>
    </row>
    <row r="80" spans="2:3" x14ac:dyDescent="0.3">
      <c r="B80"/>
      <c r="C80"/>
    </row>
    <row r="81" spans="2:3" x14ac:dyDescent="0.3">
      <c r="B81"/>
      <c r="C81"/>
    </row>
    <row r="82" spans="2:3" x14ac:dyDescent="0.3">
      <c r="B82"/>
      <c r="C82"/>
    </row>
    <row r="83" spans="2:3" x14ac:dyDescent="0.3">
      <c r="B83"/>
      <c r="C83"/>
    </row>
    <row r="84" spans="2:3" x14ac:dyDescent="0.3">
      <c r="B84"/>
      <c r="C84"/>
    </row>
    <row r="85" spans="2:3" x14ac:dyDescent="0.3">
      <c r="B85"/>
      <c r="C85"/>
    </row>
    <row r="86" spans="2:3" x14ac:dyDescent="0.3">
      <c r="B86"/>
      <c r="C86"/>
    </row>
    <row r="87" spans="2:3" x14ac:dyDescent="0.3">
      <c r="B87"/>
      <c r="C87"/>
    </row>
    <row r="88" spans="2:3" x14ac:dyDescent="0.3">
      <c r="B88"/>
      <c r="C88"/>
    </row>
    <row r="89" spans="2:3" x14ac:dyDescent="0.3">
      <c r="B89"/>
      <c r="C89"/>
    </row>
    <row r="90" spans="2:3" x14ac:dyDescent="0.3">
      <c r="B90"/>
      <c r="C90"/>
    </row>
    <row r="91" spans="2:3" x14ac:dyDescent="0.3">
      <c r="B91"/>
      <c r="C91"/>
    </row>
    <row r="92" spans="2:3" x14ac:dyDescent="0.3">
      <c r="B92"/>
      <c r="C92"/>
    </row>
    <row r="93" spans="2:3" x14ac:dyDescent="0.3">
      <c r="B93"/>
      <c r="C93"/>
    </row>
    <row r="94" spans="2:3" x14ac:dyDescent="0.3">
      <c r="B94"/>
      <c r="C94"/>
    </row>
    <row r="95" spans="2:3" x14ac:dyDescent="0.3">
      <c r="B95"/>
      <c r="C95"/>
    </row>
    <row r="96" spans="2:3" x14ac:dyDescent="0.3">
      <c r="B96"/>
      <c r="C96"/>
    </row>
    <row r="97" spans="2:3" x14ac:dyDescent="0.3">
      <c r="B97"/>
      <c r="C97"/>
    </row>
    <row r="98" spans="2:3" x14ac:dyDescent="0.3">
      <c r="B98"/>
      <c r="C98"/>
    </row>
    <row r="99" spans="2:3" x14ac:dyDescent="0.3">
      <c r="B99"/>
      <c r="C99"/>
    </row>
    <row r="100" spans="2:3" x14ac:dyDescent="0.3">
      <c r="B100"/>
      <c r="C100"/>
    </row>
    <row r="101" spans="2:3" x14ac:dyDescent="0.3">
      <c r="B101"/>
      <c r="C101"/>
    </row>
    <row r="102" spans="2:3" x14ac:dyDescent="0.3">
      <c r="B102"/>
      <c r="C102"/>
    </row>
    <row r="103" spans="2:3" x14ac:dyDescent="0.3">
      <c r="B103"/>
      <c r="C103"/>
    </row>
    <row r="104" spans="2:3" x14ac:dyDescent="0.3">
      <c r="B104"/>
      <c r="C104"/>
    </row>
    <row r="105" spans="2:3" x14ac:dyDescent="0.3">
      <c r="B105"/>
      <c r="C105"/>
    </row>
    <row r="106" spans="2:3" x14ac:dyDescent="0.3">
      <c r="B106"/>
      <c r="C106"/>
    </row>
    <row r="107" spans="2:3" x14ac:dyDescent="0.3">
      <c r="B107"/>
      <c r="C107"/>
    </row>
    <row r="108" spans="2:3" x14ac:dyDescent="0.3">
      <c r="B108"/>
      <c r="C108"/>
    </row>
    <row r="109" spans="2:3" x14ac:dyDescent="0.3">
      <c r="B109"/>
      <c r="C109"/>
    </row>
    <row r="110" spans="2:3" x14ac:dyDescent="0.3">
      <c r="B110"/>
      <c r="C110"/>
    </row>
    <row r="111" spans="2:3" x14ac:dyDescent="0.3">
      <c r="B111"/>
      <c r="C111"/>
    </row>
    <row r="112" spans="2:3" x14ac:dyDescent="0.3">
      <c r="B112"/>
      <c r="C112"/>
    </row>
    <row r="113" spans="2:3" x14ac:dyDescent="0.3">
      <c r="B113"/>
      <c r="C113"/>
    </row>
    <row r="114" spans="2:3" x14ac:dyDescent="0.3">
      <c r="B114"/>
      <c r="C114"/>
    </row>
    <row r="115" spans="2:3" x14ac:dyDescent="0.3">
      <c r="B115"/>
      <c r="C115"/>
    </row>
    <row r="116" spans="2:3" x14ac:dyDescent="0.3">
      <c r="B116"/>
      <c r="C116"/>
    </row>
    <row r="117" spans="2:3" x14ac:dyDescent="0.3">
      <c r="B117"/>
      <c r="C117"/>
    </row>
    <row r="118" spans="2:3" x14ac:dyDescent="0.3">
      <c r="B118"/>
      <c r="C118"/>
    </row>
    <row r="119" spans="2:3" x14ac:dyDescent="0.3">
      <c r="B119"/>
      <c r="C119"/>
    </row>
    <row r="120" spans="2:3" x14ac:dyDescent="0.3">
      <c r="B120"/>
      <c r="C120"/>
    </row>
    <row r="121" spans="2:3" x14ac:dyDescent="0.3">
      <c r="B121"/>
      <c r="C121"/>
    </row>
    <row r="122" spans="2:3" x14ac:dyDescent="0.3">
      <c r="B122"/>
      <c r="C122"/>
    </row>
    <row r="123" spans="2:3" x14ac:dyDescent="0.3">
      <c r="B123"/>
      <c r="C123"/>
    </row>
    <row r="124" spans="2:3" x14ac:dyDescent="0.3">
      <c r="B124"/>
      <c r="C124"/>
    </row>
    <row r="125" spans="2:3" x14ac:dyDescent="0.3">
      <c r="B125"/>
      <c r="C125"/>
    </row>
    <row r="126" spans="2:3" x14ac:dyDescent="0.3">
      <c r="B126"/>
      <c r="C126"/>
    </row>
    <row r="127" spans="2:3" x14ac:dyDescent="0.3">
      <c r="B127"/>
      <c r="C127"/>
    </row>
    <row r="128" spans="2:3" x14ac:dyDescent="0.3">
      <c r="B128"/>
      <c r="C128"/>
    </row>
    <row r="129" spans="2:3" x14ac:dyDescent="0.3">
      <c r="B129"/>
      <c r="C129"/>
    </row>
    <row r="130" spans="2:3" x14ac:dyDescent="0.3">
      <c r="B130"/>
      <c r="C130"/>
    </row>
    <row r="131" spans="2:3" x14ac:dyDescent="0.3">
      <c r="B131"/>
      <c r="C131"/>
    </row>
    <row r="132" spans="2:3" x14ac:dyDescent="0.3">
      <c r="B132"/>
      <c r="C132"/>
    </row>
    <row r="133" spans="2:3" x14ac:dyDescent="0.3">
      <c r="B133"/>
      <c r="C133"/>
    </row>
    <row r="134" spans="2:3" x14ac:dyDescent="0.3">
      <c r="B134"/>
      <c r="C134"/>
    </row>
    <row r="135" spans="2:3" x14ac:dyDescent="0.3">
      <c r="B135"/>
      <c r="C135"/>
    </row>
    <row r="136" spans="2:3" x14ac:dyDescent="0.3">
      <c r="B136"/>
      <c r="C136"/>
    </row>
    <row r="137" spans="2:3" x14ac:dyDescent="0.3">
      <c r="B137"/>
      <c r="C137"/>
    </row>
    <row r="138" spans="2:3" x14ac:dyDescent="0.3">
      <c r="B138"/>
      <c r="C138"/>
    </row>
    <row r="139" spans="2:3" x14ac:dyDescent="0.3">
      <c r="B139"/>
      <c r="C139"/>
    </row>
    <row r="140" spans="2:3" x14ac:dyDescent="0.3">
      <c r="B140"/>
      <c r="C140"/>
    </row>
    <row r="141" spans="2:3" x14ac:dyDescent="0.3">
      <c r="B141"/>
      <c r="C141"/>
    </row>
    <row r="142" spans="2:3" x14ac:dyDescent="0.3">
      <c r="B142"/>
      <c r="C142"/>
    </row>
    <row r="143" spans="2:3" x14ac:dyDescent="0.3">
      <c r="B143"/>
      <c r="C143"/>
    </row>
    <row r="144" spans="2:3" x14ac:dyDescent="0.3">
      <c r="B144"/>
      <c r="C144"/>
    </row>
    <row r="145" spans="2:3" x14ac:dyDescent="0.3">
      <c r="B145"/>
      <c r="C145"/>
    </row>
    <row r="146" spans="2:3" x14ac:dyDescent="0.3">
      <c r="B146"/>
      <c r="C146"/>
    </row>
    <row r="147" spans="2:3" x14ac:dyDescent="0.3">
      <c r="B147"/>
      <c r="C147"/>
    </row>
    <row r="148" spans="2:3" x14ac:dyDescent="0.3">
      <c r="B148"/>
      <c r="C148"/>
    </row>
    <row r="149" spans="2:3" x14ac:dyDescent="0.3">
      <c r="B149"/>
      <c r="C149"/>
    </row>
    <row r="150" spans="2:3" x14ac:dyDescent="0.3">
      <c r="B150"/>
      <c r="C150"/>
    </row>
    <row r="151" spans="2:3" x14ac:dyDescent="0.3">
      <c r="B151"/>
      <c r="C151"/>
    </row>
    <row r="152" spans="2:3" x14ac:dyDescent="0.3">
      <c r="B152"/>
      <c r="C152"/>
    </row>
    <row r="153" spans="2:3" x14ac:dyDescent="0.3">
      <c r="B153"/>
      <c r="C153"/>
    </row>
    <row r="154" spans="2:3" x14ac:dyDescent="0.3">
      <c r="B154"/>
      <c r="C154"/>
    </row>
    <row r="155" spans="2:3" x14ac:dyDescent="0.3">
      <c r="B155"/>
      <c r="C155"/>
    </row>
    <row r="156" spans="2:3" x14ac:dyDescent="0.3">
      <c r="B156"/>
      <c r="C156"/>
    </row>
    <row r="157" spans="2:3" x14ac:dyDescent="0.3">
      <c r="B157"/>
      <c r="C157"/>
    </row>
    <row r="158" spans="2:3" x14ac:dyDescent="0.3">
      <c r="B158"/>
      <c r="C158"/>
    </row>
    <row r="159" spans="2:3" x14ac:dyDescent="0.3">
      <c r="B159"/>
      <c r="C159"/>
    </row>
    <row r="160" spans="2:3" x14ac:dyDescent="0.3">
      <c r="B160"/>
      <c r="C160"/>
    </row>
    <row r="161" spans="2:3" x14ac:dyDescent="0.3">
      <c r="B161"/>
      <c r="C161"/>
    </row>
    <row r="162" spans="2:3" x14ac:dyDescent="0.3">
      <c r="B162"/>
      <c r="C162"/>
    </row>
    <row r="163" spans="2:3" x14ac:dyDescent="0.3">
      <c r="B163"/>
      <c r="C163"/>
    </row>
    <row r="164" spans="2:3" x14ac:dyDescent="0.3">
      <c r="B164"/>
      <c r="C164"/>
    </row>
    <row r="165" spans="2:3" x14ac:dyDescent="0.3">
      <c r="B165"/>
      <c r="C165"/>
    </row>
    <row r="166" spans="2:3" x14ac:dyDescent="0.3">
      <c r="B166"/>
      <c r="C166"/>
    </row>
    <row r="167" spans="2:3" x14ac:dyDescent="0.3">
      <c r="B167"/>
      <c r="C167"/>
    </row>
    <row r="168" spans="2:3" x14ac:dyDescent="0.3">
      <c r="B168"/>
      <c r="C168"/>
    </row>
    <row r="169" spans="2:3" x14ac:dyDescent="0.3">
      <c r="B169"/>
      <c r="C169"/>
    </row>
    <row r="170" spans="2:3" x14ac:dyDescent="0.3">
      <c r="B170"/>
      <c r="C170"/>
    </row>
    <row r="171" spans="2:3" x14ac:dyDescent="0.3">
      <c r="B171"/>
      <c r="C171"/>
    </row>
    <row r="172" spans="2:3" x14ac:dyDescent="0.3">
      <c r="B172"/>
      <c r="C172"/>
    </row>
    <row r="173" spans="2:3" x14ac:dyDescent="0.3">
      <c r="B173"/>
      <c r="C173"/>
    </row>
    <row r="174" spans="2:3" x14ac:dyDescent="0.3">
      <c r="B174"/>
      <c r="C174"/>
    </row>
    <row r="175" spans="2:3" x14ac:dyDescent="0.3">
      <c r="B175"/>
      <c r="C175"/>
    </row>
    <row r="176" spans="2:3" x14ac:dyDescent="0.3">
      <c r="B176"/>
      <c r="C176"/>
    </row>
    <row r="177" spans="2:3" x14ac:dyDescent="0.3">
      <c r="B177"/>
      <c r="C177"/>
    </row>
    <row r="178" spans="2:3" x14ac:dyDescent="0.3">
      <c r="B178"/>
      <c r="C178"/>
    </row>
    <row r="179" spans="2:3" x14ac:dyDescent="0.3">
      <c r="B179"/>
      <c r="C179"/>
    </row>
    <row r="180" spans="2:3" x14ac:dyDescent="0.3">
      <c r="B180"/>
      <c r="C180"/>
    </row>
    <row r="181" spans="2:3" x14ac:dyDescent="0.3">
      <c r="B181"/>
      <c r="C181"/>
    </row>
    <row r="182" spans="2:3" x14ac:dyDescent="0.3">
      <c r="B182"/>
      <c r="C182"/>
    </row>
    <row r="183" spans="2:3" x14ac:dyDescent="0.3">
      <c r="B183"/>
      <c r="C183"/>
    </row>
    <row r="184" spans="2:3" x14ac:dyDescent="0.3">
      <c r="B184"/>
      <c r="C184"/>
    </row>
    <row r="185" spans="2:3" x14ac:dyDescent="0.3">
      <c r="B185"/>
      <c r="C185"/>
    </row>
    <row r="186" spans="2:3" x14ac:dyDescent="0.3">
      <c r="B186"/>
      <c r="C186"/>
    </row>
    <row r="187" spans="2:3" x14ac:dyDescent="0.3">
      <c r="B187"/>
      <c r="C187"/>
    </row>
    <row r="188" spans="2:3" x14ac:dyDescent="0.3">
      <c r="B188"/>
      <c r="C188"/>
    </row>
    <row r="189" spans="2:3" x14ac:dyDescent="0.3">
      <c r="B189"/>
      <c r="C189"/>
    </row>
    <row r="190" spans="2:3" x14ac:dyDescent="0.3">
      <c r="B190"/>
      <c r="C190"/>
    </row>
    <row r="191" spans="2:3" x14ac:dyDescent="0.3">
      <c r="B191"/>
      <c r="C191"/>
    </row>
    <row r="192" spans="2:3" x14ac:dyDescent="0.3">
      <c r="B192"/>
      <c r="C192"/>
    </row>
    <row r="193" spans="2:3" x14ac:dyDescent="0.3">
      <c r="B193"/>
      <c r="C193"/>
    </row>
    <row r="194" spans="2:3" x14ac:dyDescent="0.3">
      <c r="B194"/>
      <c r="C194"/>
    </row>
    <row r="195" spans="2:3" x14ac:dyDescent="0.3">
      <c r="B195"/>
      <c r="C195"/>
    </row>
    <row r="196" spans="2:3" x14ac:dyDescent="0.3">
      <c r="B196"/>
      <c r="C196"/>
    </row>
    <row r="197" spans="2:3" x14ac:dyDescent="0.3">
      <c r="B197"/>
      <c r="C197"/>
    </row>
    <row r="198" spans="2:3" x14ac:dyDescent="0.3">
      <c r="B198"/>
      <c r="C198"/>
    </row>
    <row r="199" spans="2:3" x14ac:dyDescent="0.3">
      <c r="B199"/>
      <c r="C199"/>
    </row>
    <row r="200" spans="2:3" x14ac:dyDescent="0.3">
      <c r="B200"/>
      <c r="C200"/>
    </row>
    <row r="201" spans="2:3" x14ac:dyDescent="0.3">
      <c r="B201"/>
      <c r="C201"/>
    </row>
    <row r="202" spans="2:3" x14ac:dyDescent="0.3">
      <c r="B202"/>
      <c r="C202"/>
    </row>
    <row r="203" spans="2:3" x14ac:dyDescent="0.3">
      <c r="B203"/>
      <c r="C203"/>
    </row>
    <row r="204" spans="2:3" x14ac:dyDescent="0.3">
      <c r="B204"/>
      <c r="C204"/>
    </row>
    <row r="205" spans="2:3" x14ac:dyDescent="0.3">
      <c r="B205"/>
      <c r="C205"/>
    </row>
    <row r="206" spans="2:3" x14ac:dyDescent="0.3">
      <c r="B206"/>
      <c r="C206"/>
    </row>
    <row r="207" spans="2:3" x14ac:dyDescent="0.3">
      <c r="B207"/>
      <c r="C207"/>
    </row>
    <row r="208" spans="2:3" x14ac:dyDescent="0.3">
      <c r="B208"/>
      <c r="C208"/>
    </row>
    <row r="209" spans="2:3" x14ac:dyDescent="0.3">
      <c r="B209"/>
      <c r="C209"/>
    </row>
    <row r="210" spans="2:3" x14ac:dyDescent="0.3">
      <c r="B210"/>
      <c r="C210"/>
    </row>
    <row r="211" spans="2:3" x14ac:dyDescent="0.3">
      <c r="B211"/>
      <c r="C211"/>
    </row>
    <row r="212" spans="2:3" x14ac:dyDescent="0.3">
      <c r="B212"/>
      <c r="C212"/>
    </row>
    <row r="213" spans="2:3" x14ac:dyDescent="0.3">
      <c r="B213"/>
      <c r="C213"/>
    </row>
    <row r="214" spans="2:3" x14ac:dyDescent="0.3">
      <c r="B214"/>
      <c r="C214"/>
    </row>
    <row r="215" spans="2:3" x14ac:dyDescent="0.3">
      <c r="B215"/>
      <c r="C215"/>
    </row>
    <row r="216" spans="2:3" x14ac:dyDescent="0.3">
      <c r="B216"/>
      <c r="C216"/>
    </row>
    <row r="217" spans="2:3" x14ac:dyDescent="0.3">
      <c r="B217"/>
      <c r="C217"/>
    </row>
    <row r="218" spans="2:3" x14ac:dyDescent="0.3">
      <c r="B218"/>
      <c r="C218"/>
    </row>
    <row r="219" spans="2:3" x14ac:dyDescent="0.3">
      <c r="B219"/>
      <c r="C219"/>
    </row>
    <row r="220" spans="2:3" x14ac:dyDescent="0.3">
      <c r="B220"/>
      <c r="C220"/>
    </row>
    <row r="221" spans="2:3" x14ac:dyDescent="0.3">
      <c r="B221"/>
      <c r="C221"/>
    </row>
    <row r="222" spans="2:3" x14ac:dyDescent="0.3">
      <c r="B222"/>
      <c r="C222"/>
    </row>
    <row r="223" spans="2:3" x14ac:dyDescent="0.3">
      <c r="B223"/>
      <c r="C223"/>
    </row>
    <row r="224" spans="2:3" x14ac:dyDescent="0.3">
      <c r="B224"/>
      <c r="C224"/>
    </row>
    <row r="225" spans="2:3" x14ac:dyDescent="0.3">
      <c r="B225"/>
      <c r="C225"/>
    </row>
    <row r="226" spans="2:3" x14ac:dyDescent="0.3">
      <c r="B226"/>
      <c r="C226"/>
    </row>
    <row r="227" spans="2:3" x14ac:dyDescent="0.3">
      <c r="B227"/>
      <c r="C227"/>
    </row>
    <row r="228" spans="2:3" x14ac:dyDescent="0.3">
      <c r="B228"/>
      <c r="C228"/>
    </row>
    <row r="229" spans="2:3" x14ac:dyDescent="0.3">
      <c r="B229"/>
      <c r="C229"/>
    </row>
    <row r="230" spans="2:3" x14ac:dyDescent="0.3">
      <c r="B230"/>
      <c r="C230"/>
    </row>
    <row r="231" spans="2:3" x14ac:dyDescent="0.3">
      <c r="B231"/>
      <c r="C231"/>
    </row>
    <row r="232" spans="2:3" x14ac:dyDescent="0.3">
      <c r="B232"/>
      <c r="C232"/>
    </row>
    <row r="233" spans="2:3" x14ac:dyDescent="0.3">
      <c r="B233"/>
      <c r="C233"/>
    </row>
    <row r="234" spans="2:3" x14ac:dyDescent="0.3">
      <c r="B234"/>
      <c r="C234"/>
    </row>
    <row r="235" spans="2:3" x14ac:dyDescent="0.3">
      <c r="B235"/>
      <c r="C235"/>
    </row>
    <row r="236" spans="2:3" x14ac:dyDescent="0.3">
      <c r="B236"/>
      <c r="C236"/>
    </row>
    <row r="237" spans="2:3" x14ac:dyDescent="0.3">
      <c r="B237"/>
      <c r="C237"/>
    </row>
    <row r="238" spans="2:3" x14ac:dyDescent="0.3">
      <c r="B238"/>
      <c r="C238"/>
    </row>
    <row r="239" spans="2:3" x14ac:dyDescent="0.3">
      <c r="B239"/>
      <c r="C239"/>
    </row>
    <row r="240" spans="2:3" x14ac:dyDescent="0.3">
      <c r="B240"/>
      <c r="C240"/>
    </row>
    <row r="241" spans="2:3" x14ac:dyDescent="0.3">
      <c r="B241"/>
      <c r="C241"/>
    </row>
    <row r="242" spans="2:3" x14ac:dyDescent="0.3">
      <c r="B242"/>
      <c r="C242"/>
    </row>
    <row r="243" spans="2:3" x14ac:dyDescent="0.3">
      <c r="B243"/>
      <c r="C243"/>
    </row>
    <row r="244" spans="2:3" x14ac:dyDescent="0.3">
      <c r="B244"/>
      <c r="C244"/>
    </row>
    <row r="245" spans="2:3" x14ac:dyDescent="0.3">
      <c r="B245"/>
      <c r="C245"/>
    </row>
    <row r="246" spans="2:3" x14ac:dyDescent="0.3">
      <c r="B246"/>
      <c r="C246"/>
    </row>
    <row r="247" spans="2:3" x14ac:dyDescent="0.3">
      <c r="B247"/>
      <c r="C247"/>
    </row>
    <row r="248" spans="2:3" x14ac:dyDescent="0.3">
      <c r="B248"/>
      <c r="C248"/>
    </row>
    <row r="249" spans="2:3" x14ac:dyDescent="0.3">
      <c r="B249"/>
      <c r="C249"/>
    </row>
    <row r="250" spans="2:3" x14ac:dyDescent="0.3">
      <c r="B250"/>
      <c r="C250"/>
    </row>
    <row r="251" spans="2:3" x14ac:dyDescent="0.3">
      <c r="B251"/>
      <c r="C251"/>
    </row>
    <row r="252" spans="2:3" x14ac:dyDescent="0.3">
      <c r="B252"/>
      <c r="C252"/>
    </row>
    <row r="253" spans="2:3" x14ac:dyDescent="0.3">
      <c r="B253"/>
      <c r="C253"/>
    </row>
    <row r="254" spans="2:3" x14ac:dyDescent="0.3">
      <c r="B254"/>
      <c r="C254"/>
    </row>
    <row r="255" spans="2:3" x14ac:dyDescent="0.3">
      <c r="B255"/>
      <c r="C255"/>
    </row>
  </sheetData>
  <mergeCells count="3">
    <mergeCell ref="B2:C2"/>
    <mergeCell ref="E2:F2"/>
    <mergeCell ref="H2:I2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517A3-DF37-4470-93CA-ACE27F114C1B}">
  <sheetPr codeName="Tabelle5"/>
  <dimension ref="A1:R255"/>
  <sheetViews>
    <sheetView showGridLines="0" workbookViewId="0">
      <selection activeCell="I4" sqref="I4"/>
    </sheetView>
  </sheetViews>
  <sheetFormatPr defaultColWidth="17.109375" defaultRowHeight="14.4" x14ac:dyDescent="0.3"/>
  <cols>
    <col min="1" max="1" width="2.88671875" customWidth="1"/>
    <col min="2" max="2" width="17.109375" style="11" customWidth="1"/>
    <col min="3" max="3" width="17.109375" style="17" customWidth="1"/>
    <col min="4" max="4" width="17.109375" style="18" customWidth="1"/>
    <col min="5" max="5" width="8.5546875" customWidth="1"/>
    <col min="6" max="7" width="17.109375" customWidth="1"/>
    <col min="8" max="8" width="8.5546875" customWidth="1"/>
  </cols>
  <sheetData>
    <row r="1" spans="1:18" x14ac:dyDescent="0.3">
      <c r="B1"/>
      <c r="C1"/>
      <c r="D1"/>
    </row>
    <row r="2" spans="1:18" x14ac:dyDescent="0.3">
      <c r="B2" s="19" t="s">
        <v>0</v>
      </c>
      <c r="C2" s="21"/>
      <c r="D2" s="20"/>
      <c r="F2" s="19" t="s">
        <v>1</v>
      </c>
      <c r="G2" s="20"/>
      <c r="I2" s="19" t="s">
        <v>2</v>
      </c>
      <c r="J2" s="20"/>
    </row>
    <row r="3" spans="1:18" x14ac:dyDescent="0.3">
      <c r="B3"/>
      <c r="C3"/>
      <c r="D3"/>
    </row>
    <row r="4" spans="1:18" s="6" customFormat="1" x14ac:dyDescent="0.3">
      <c r="A4"/>
      <c r="B4" s="1" t="s">
        <v>9</v>
      </c>
      <c r="C4" s="1" t="s">
        <v>10</v>
      </c>
      <c r="D4" s="1" t="s">
        <v>11</v>
      </c>
      <c r="E4"/>
      <c r="F4" s="1" t="s">
        <v>12</v>
      </c>
      <c r="G4" s="1" t="s">
        <v>13</v>
      </c>
      <c r="I4" s="4">
        <f>SUMPRODUCT((RangeDates&gt;=DateStart)*(RangeDates&lt;=DateEnd)*RangeDays/365*TIEREDRATEFEE(Volumes,MinimumFee,Thresholds,Rates))</f>
        <v>168649.47019561639</v>
      </c>
      <c r="J4" s="5" t="s">
        <v>5</v>
      </c>
      <c r="K4"/>
      <c r="L4"/>
      <c r="M4"/>
      <c r="N4"/>
      <c r="O4"/>
      <c r="P4"/>
      <c r="Q4"/>
      <c r="R4"/>
    </row>
    <row r="5" spans="1:18" ht="15" customHeight="1" x14ac:dyDescent="0.3">
      <c r="B5" s="12">
        <v>43465</v>
      </c>
      <c r="C5" s="13">
        <f>B5-B6</f>
        <v>3</v>
      </c>
      <c r="D5" s="7">
        <v>543333200</v>
      </c>
      <c r="F5" s="14">
        <v>43102</v>
      </c>
      <c r="G5" s="14">
        <v>43465</v>
      </c>
    </row>
    <row r="6" spans="1:18" ht="15" customHeight="1" x14ac:dyDescent="0.3">
      <c r="B6" s="12">
        <v>43462</v>
      </c>
      <c r="C6" s="13">
        <f t="shared" ref="C6:C69" si="0">B6-B7</f>
        <v>1</v>
      </c>
      <c r="D6" s="7">
        <v>540666534</v>
      </c>
      <c r="I6" s="4">
        <f>SUMPRODUCT((RangeDates&gt;=DateStart)*(RangeDates&lt;=DateEnd)*RangeDays/365*TIEREDRATEFEE(Volumes,20000,{0;100000000;250000000;500000000;1000000000},{0.0008;0.0006;0.0004;0.0002;0.0001}))</f>
        <v>168649.47019561639</v>
      </c>
      <c r="J6" s="5" t="s">
        <v>8</v>
      </c>
    </row>
    <row r="7" spans="1:18" ht="15" customHeight="1" x14ac:dyDescent="0.3">
      <c r="B7" s="12">
        <v>43461</v>
      </c>
      <c r="C7" s="13">
        <f t="shared" si="0"/>
        <v>3</v>
      </c>
      <c r="D7" s="7">
        <v>539333201</v>
      </c>
      <c r="F7" s="1" t="s">
        <v>4</v>
      </c>
      <c r="G7" s="3">
        <v>20000</v>
      </c>
    </row>
    <row r="8" spans="1:18" ht="15" customHeight="1" x14ac:dyDescent="0.3">
      <c r="B8" s="12">
        <v>43458</v>
      </c>
      <c r="C8" s="13">
        <f t="shared" si="0"/>
        <v>3</v>
      </c>
      <c r="D8" s="7">
        <v>536666535</v>
      </c>
    </row>
    <row r="9" spans="1:18" ht="15" customHeight="1" x14ac:dyDescent="0.3">
      <c r="B9" s="12">
        <v>43455</v>
      </c>
      <c r="C9" s="13">
        <f t="shared" si="0"/>
        <v>1</v>
      </c>
      <c r="D9" s="7">
        <v>533999869</v>
      </c>
      <c r="F9" s="1" t="s">
        <v>6</v>
      </c>
      <c r="G9" s="1" t="s">
        <v>7</v>
      </c>
    </row>
    <row r="10" spans="1:18" ht="15" customHeight="1" x14ac:dyDescent="0.3">
      <c r="B10" s="12">
        <v>43454</v>
      </c>
      <c r="C10" s="13">
        <f t="shared" si="0"/>
        <v>1</v>
      </c>
      <c r="D10" s="7">
        <v>532666536</v>
      </c>
      <c r="F10" s="7">
        <v>0</v>
      </c>
      <c r="G10" s="8">
        <v>8.0000000000000004E-4</v>
      </c>
    </row>
    <row r="11" spans="1:18" ht="15" customHeight="1" x14ac:dyDescent="0.3">
      <c r="B11" s="12">
        <v>43453</v>
      </c>
      <c r="C11" s="13">
        <f t="shared" si="0"/>
        <v>1</v>
      </c>
      <c r="D11" s="7">
        <v>529999870</v>
      </c>
      <c r="F11" s="7">
        <v>100000000</v>
      </c>
      <c r="G11" s="8">
        <v>5.9999999999999995E-4</v>
      </c>
    </row>
    <row r="12" spans="1:18" ht="15" customHeight="1" x14ac:dyDescent="0.3">
      <c r="B12" s="12">
        <v>43452</v>
      </c>
      <c r="C12" s="13">
        <f t="shared" si="0"/>
        <v>1</v>
      </c>
      <c r="D12" s="7">
        <v>528666537</v>
      </c>
      <c r="F12" s="7">
        <v>250000000</v>
      </c>
      <c r="G12" s="8">
        <v>4.0000000000000002E-4</v>
      </c>
    </row>
    <row r="13" spans="1:18" ht="15" customHeight="1" x14ac:dyDescent="0.3">
      <c r="B13" s="12">
        <v>43451</v>
      </c>
      <c r="C13" s="13">
        <f t="shared" si="0"/>
        <v>3</v>
      </c>
      <c r="D13" s="7">
        <v>525999871</v>
      </c>
      <c r="F13" s="7">
        <v>500000000</v>
      </c>
      <c r="G13" s="8">
        <v>2.0000000000000001E-4</v>
      </c>
    </row>
    <row r="14" spans="1:18" x14ac:dyDescent="0.3">
      <c r="B14" s="12">
        <v>43448</v>
      </c>
      <c r="C14" s="13">
        <f t="shared" si="0"/>
        <v>1</v>
      </c>
      <c r="D14" s="7">
        <v>523333205</v>
      </c>
      <c r="F14" s="9">
        <v>1000000000</v>
      </c>
      <c r="G14" s="10">
        <v>1E-4</v>
      </c>
    </row>
    <row r="15" spans="1:18" x14ac:dyDescent="0.3">
      <c r="B15" s="12">
        <v>43447</v>
      </c>
      <c r="C15" s="13">
        <f t="shared" si="0"/>
        <v>1</v>
      </c>
      <c r="D15" s="7">
        <v>521999872</v>
      </c>
    </row>
    <row r="16" spans="1:18" x14ac:dyDescent="0.3">
      <c r="B16" s="12">
        <v>43446</v>
      </c>
      <c r="C16" s="13">
        <f t="shared" si="0"/>
        <v>1</v>
      </c>
      <c r="D16" s="7">
        <v>519333206</v>
      </c>
    </row>
    <row r="17" spans="2:4" x14ac:dyDescent="0.3">
      <c r="B17" s="12">
        <v>43445</v>
      </c>
      <c r="C17" s="13">
        <f t="shared" si="0"/>
        <v>1</v>
      </c>
      <c r="D17" s="7">
        <v>517999873</v>
      </c>
    </row>
    <row r="18" spans="2:4" x14ac:dyDescent="0.3">
      <c r="B18" s="12">
        <v>43444</v>
      </c>
      <c r="C18" s="13">
        <f t="shared" si="0"/>
        <v>3</v>
      </c>
      <c r="D18" s="7">
        <v>515333207</v>
      </c>
    </row>
    <row r="19" spans="2:4" x14ac:dyDescent="0.3">
      <c r="B19" s="12">
        <v>43441</v>
      </c>
      <c r="C19" s="13">
        <f t="shared" si="0"/>
        <v>1</v>
      </c>
      <c r="D19" s="7">
        <v>512666541</v>
      </c>
    </row>
    <row r="20" spans="2:4" x14ac:dyDescent="0.3">
      <c r="B20" s="12">
        <v>43440</v>
      </c>
      <c r="C20" s="13">
        <f t="shared" si="0"/>
        <v>1</v>
      </c>
      <c r="D20" s="7">
        <v>511333208</v>
      </c>
    </row>
    <row r="21" spans="2:4" x14ac:dyDescent="0.3">
      <c r="B21" s="12">
        <v>43439</v>
      </c>
      <c r="C21" s="13">
        <f t="shared" si="0"/>
        <v>1</v>
      </c>
      <c r="D21" s="7">
        <v>508666542</v>
      </c>
    </row>
    <row r="22" spans="2:4" x14ac:dyDescent="0.3">
      <c r="B22" s="12">
        <v>43438</v>
      </c>
      <c r="C22" s="13">
        <f t="shared" si="0"/>
        <v>1</v>
      </c>
      <c r="D22" s="7">
        <v>507333209</v>
      </c>
    </row>
    <row r="23" spans="2:4" x14ac:dyDescent="0.3">
      <c r="B23" s="12">
        <v>43437</v>
      </c>
      <c r="C23" s="13">
        <f t="shared" si="0"/>
        <v>3</v>
      </c>
      <c r="D23" s="7">
        <v>504666543</v>
      </c>
    </row>
    <row r="24" spans="2:4" x14ac:dyDescent="0.3">
      <c r="B24" s="12">
        <v>43434</v>
      </c>
      <c r="C24" s="13">
        <f t="shared" si="0"/>
        <v>1</v>
      </c>
      <c r="D24" s="7">
        <v>501999877</v>
      </c>
    </row>
    <row r="25" spans="2:4" x14ac:dyDescent="0.3">
      <c r="B25" s="12">
        <v>43433</v>
      </c>
      <c r="C25" s="13">
        <f t="shared" si="0"/>
        <v>1</v>
      </c>
      <c r="D25" s="7">
        <v>500666544</v>
      </c>
    </row>
    <row r="26" spans="2:4" x14ac:dyDescent="0.3">
      <c r="B26" s="12">
        <v>43432</v>
      </c>
      <c r="C26" s="13">
        <f t="shared" si="0"/>
        <v>1</v>
      </c>
      <c r="D26" s="7">
        <v>497999878</v>
      </c>
    </row>
    <row r="27" spans="2:4" x14ac:dyDescent="0.3">
      <c r="B27" s="12">
        <v>43431</v>
      </c>
      <c r="C27" s="13">
        <f t="shared" si="0"/>
        <v>1</v>
      </c>
      <c r="D27" s="7">
        <v>496666545</v>
      </c>
    </row>
    <row r="28" spans="2:4" x14ac:dyDescent="0.3">
      <c r="B28" s="12">
        <v>43430</v>
      </c>
      <c r="C28" s="13">
        <f t="shared" si="0"/>
        <v>3</v>
      </c>
      <c r="D28" s="7">
        <v>493999879</v>
      </c>
    </row>
    <row r="29" spans="2:4" x14ac:dyDescent="0.3">
      <c r="B29" s="12">
        <v>43427</v>
      </c>
      <c r="C29" s="13">
        <f t="shared" si="0"/>
        <v>1</v>
      </c>
      <c r="D29" s="7">
        <v>491333213</v>
      </c>
    </row>
    <row r="30" spans="2:4" x14ac:dyDescent="0.3">
      <c r="B30" s="12">
        <v>43426</v>
      </c>
      <c r="C30" s="13">
        <f t="shared" si="0"/>
        <v>1</v>
      </c>
      <c r="D30" s="7">
        <v>489999880</v>
      </c>
    </row>
    <row r="31" spans="2:4" x14ac:dyDescent="0.3">
      <c r="B31" s="12">
        <v>43425</v>
      </c>
      <c r="C31" s="13">
        <f t="shared" si="0"/>
        <v>1</v>
      </c>
      <c r="D31" s="7">
        <v>487333214</v>
      </c>
    </row>
    <row r="32" spans="2:4" x14ac:dyDescent="0.3">
      <c r="B32" s="12">
        <v>43424</v>
      </c>
      <c r="C32" s="13">
        <f t="shared" si="0"/>
        <v>1</v>
      </c>
      <c r="D32" s="7">
        <v>485999881</v>
      </c>
    </row>
    <row r="33" spans="2:4" x14ac:dyDescent="0.3">
      <c r="B33" s="12">
        <v>43423</v>
      </c>
      <c r="C33" s="13">
        <f t="shared" si="0"/>
        <v>3</v>
      </c>
      <c r="D33" s="7">
        <v>483333215</v>
      </c>
    </row>
    <row r="34" spans="2:4" x14ac:dyDescent="0.3">
      <c r="B34" s="12">
        <v>43420</v>
      </c>
      <c r="C34" s="13">
        <f t="shared" si="0"/>
        <v>1</v>
      </c>
      <c r="D34" s="7">
        <v>480666549</v>
      </c>
    </row>
    <row r="35" spans="2:4" x14ac:dyDescent="0.3">
      <c r="B35" s="12">
        <v>43419</v>
      </c>
      <c r="C35" s="13">
        <f t="shared" si="0"/>
        <v>1</v>
      </c>
      <c r="D35" s="7">
        <v>479333216</v>
      </c>
    </row>
    <row r="36" spans="2:4" x14ac:dyDescent="0.3">
      <c r="B36" s="12">
        <v>43418</v>
      </c>
      <c r="C36" s="13">
        <f t="shared" si="0"/>
        <v>1</v>
      </c>
      <c r="D36" s="7">
        <v>476666550</v>
      </c>
    </row>
    <row r="37" spans="2:4" x14ac:dyDescent="0.3">
      <c r="B37" s="12">
        <v>43417</v>
      </c>
      <c r="C37" s="13">
        <f t="shared" si="0"/>
        <v>1</v>
      </c>
      <c r="D37" s="7">
        <v>475333217</v>
      </c>
    </row>
    <row r="38" spans="2:4" x14ac:dyDescent="0.3">
      <c r="B38" s="12">
        <v>43416</v>
      </c>
      <c r="C38" s="13">
        <f t="shared" si="0"/>
        <v>3</v>
      </c>
      <c r="D38" s="7">
        <v>472666551</v>
      </c>
    </row>
    <row r="39" spans="2:4" x14ac:dyDescent="0.3">
      <c r="B39" s="12">
        <v>43413</v>
      </c>
      <c r="C39" s="13">
        <f t="shared" si="0"/>
        <v>1</v>
      </c>
      <c r="D39" s="7">
        <v>469999885</v>
      </c>
    </row>
    <row r="40" spans="2:4" x14ac:dyDescent="0.3">
      <c r="B40" s="12">
        <v>43412</v>
      </c>
      <c r="C40" s="13">
        <f t="shared" si="0"/>
        <v>1</v>
      </c>
      <c r="D40" s="7">
        <v>468666552</v>
      </c>
    </row>
    <row r="41" spans="2:4" x14ac:dyDescent="0.3">
      <c r="B41" s="12">
        <v>43411</v>
      </c>
      <c r="C41" s="13">
        <f t="shared" si="0"/>
        <v>1</v>
      </c>
      <c r="D41" s="7">
        <v>465999886</v>
      </c>
    </row>
    <row r="42" spans="2:4" x14ac:dyDescent="0.3">
      <c r="B42" s="12">
        <v>43410</v>
      </c>
      <c r="C42" s="13">
        <f t="shared" si="0"/>
        <v>1</v>
      </c>
      <c r="D42" s="7">
        <v>464666553</v>
      </c>
    </row>
    <row r="43" spans="2:4" x14ac:dyDescent="0.3">
      <c r="B43" s="12">
        <v>43409</v>
      </c>
      <c r="C43" s="13">
        <f t="shared" si="0"/>
        <v>3</v>
      </c>
      <c r="D43" s="7">
        <v>461999887</v>
      </c>
    </row>
    <row r="44" spans="2:4" x14ac:dyDescent="0.3">
      <c r="B44" s="12">
        <v>43406</v>
      </c>
      <c r="C44" s="13">
        <f t="shared" si="0"/>
        <v>2</v>
      </c>
      <c r="D44" s="7">
        <v>459333221</v>
      </c>
    </row>
    <row r="45" spans="2:4" x14ac:dyDescent="0.3">
      <c r="B45" s="12">
        <v>43404</v>
      </c>
      <c r="C45" s="13">
        <f t="shared" si="0"/>
        <v>1</v>
      </c>
      <c r="D45" s="7">
        <v>457999888</v>
      </c>
    </row>
    <row r="46" spans="2:4" x14ac:dyDescent="0.3">
      <c r="B46" s="12">
        <v>43403</v>
      </c>
      <c r="C46" s="13">
        <f t="shared" si="0"/>
        <v>1</v>
      </c>
      <c r="D46" s="7">
        <v>455333222</v>
      </c>
    </row>
    <row r="47" spans="2:4" x14ac:dyDescent="0.3">
      <c r="B47" s="12">
        <v>43402</v>
      </c>
      <c r="C47" s="13">
        <f t="shared" si="0"/>
        <v>3</v>
      </c>
      <c r="D47" s="7">
        <v>453999889</v>
      </c>
    </row>
    <row r="48" spans="2:4" x14ac:dyDescent="0.3">
      <c r="B48" s="12">
        <v>43399</v>
      </c>
      <c r="C48" s="13">
        <f t="shared" si="0"/>
        <v>1</v>
      </c>
      <c r="D48" s="7">
        <v>451333223</v>
      </c>
    </row>
    <row r="49" spans="2:4" x14ac:dyDescent="0.3">
      <c r="B49" s="12">
        <v>43398</v>
      </c>
      <c r="C49" s="13">
        <f t="shared" si="0"/>
        <v>1</v>
      </c>
      <c r="D49" s="7">
        <v>448666557</v>
      </c>
    </row>
    <row r="50" spans="2:4" x14ac:dyDescent="0.3">
      <c r="B50" s="12">
        <v>43397</v>
      </c>
      <c r="C50" s="13">
        <f t="shared" si="0"/>
        <v>1</v>
      </c>
      <c r="D50" s="7">
        <v>447333224</v>
      </c>
    </row>
    <row r="51" spans="2:4" x14ac:dyDescent="0.3">
      <c r="B51" s="12">
        <v>43396</v>
      </c>
      <c r="C51" s="13">
        <f t="shared" si="0"/>
        <v>1</v>
      </c>
      <c r="D51" s="7">
        <v>444666558</v>
      </c>
    </row>
    <row r="52" spans="2:4" x14ac:dyDescent="0.3">
      <c r="B52" s="12">
        <v>43395</v>
      </c>
      <c r="C52" s="13">
        <f t="shared" si="0"/>
        <v>3</v>
      </c>
      <c r="D52" s="7">
        <v>443333225</v>
      </c>
    </row>
    <row r="53" spans="2:4" x14ac:dyDescent="0.3">
      <c r="B53" s="12">
        <v>43392</v>
      </c>
      <c r="C53" s="13">
        <f t="shared" si="0"/>
        <v>1</v>
      </c>
      <c r="D53" s="7">
        <v>440666559</v>
      </c>
    </row>
    <row r="54" spans="2:4" x14ac:dyDescent="0.3">
      <c r="B54" s="12">
        <v>43391</v>
      </c>
      <c r="C54" s="13">
        <f t="shared" si="0"/>
        <v>1</v>
      </c>
      <c r="D54" s="7">
        <v>437999893</v>
      </c>
    </row>
    <row r="55" spans="2:4" x14ac:dyDescent="0.3">
      <c r="B55" s="12">
        <v>43390</v>
      </c>
      <c r="C55" s="13">
        <f t="shared" si="0"/>
        <v>1</v>
      </c>
      <c r="D55" s="7">
        <v>436666560</v>
      </c>
    </row>
    <row r="56" spans="2:4" x14ac:dyDescent="0.3">
      <c r="B56" s="12">
        <v>43389</v>
      </c>
      <c r="C56" s="13">
        <f t="shared" si="0"/>
        <v>1</v>
      </c>
      <c r="D56" s="7">
        <v>433999894</v>
      </c>
    </row>
    <row r="57" spans="2:4" x14ac:dyDescent="0.3">
      <c r="B57" s="12">
        <v>43388</v>
      </c>
      <c r="C57" s="13">
        <f t="shared" si="0"/>
        <v>3</v>
      </c>
      <c r="D57" s="7">
        <v>432666561</v>
      </c>
    </row>
    <row r="58" spans="2:4" x14ac:dyDescent="0.3">
      <c r="B58" s="12">
        <v>43385</v>
      </c>
      <c r="C58" s="13">
        <f t="shared" si="0"/>
        <v>1</v>
      </c>
      <c r="D58" s="7">
        <v>429999895</v>
      </c>
    </row>
    <row r="59" spans="2:4" x14ac:dyDescent="0.3">
      <c r="B59" s="12">
        <v>43384</v>
      </c>
      <c r="C59" s="13">
        <f t="shared" si="0"/>
        <v>1</v>
      </c>
      <c r="D59" s="7">
        <v>427333229</v>
      </c>
    </row>
    <row r="60" spans="2:4" x14ac:dyDescent="0.3">
      <c r="B60" s="12">
        <v>43383</v>
      </c>
      <c r="C60" s="13">
        <f t="shared" si="0"/>
        <v>1</v>
      </c>
      <c r="D60" s="7">
        <v>425999896</v>
      </c>
    </row>
    <row r="61" spans="2:4" x14ac:dyDescent="0.3">
      <c r="B61" s="12">
        <v>43382</v>
      </c>
      <c r="C61" s="13">
        <f t="shared" si="0"/>
        <v>1</v>
      </c>
      <c r="D61" s="7">
        <v>423333230</v>
      </c>
    </row>
    <row r="62" spans="2:4" x14ac:dyDescent="0.3">
      <c r="B62" s="12">
        <v>43381</v>
      </c>
      <c r="C62" s="13">
        <f t="shared" si="0"/>
        <v>3</v>
      </c>
      <c r="D62" s="7">
        <v>421999897</v>
      </c>
    </row>
    <row r="63" spans="2:4" x14ac:dyDescent="0.3">
      <c r="B63" s="12">
        <v>43378</v>
      </c>
      <c r="C63" s="13">
        <f t="shared" si="0"/>
        <v>1</v>
      </c>
      <c r="D63" s="7">
        <v>419333231</v>
      </c>
    </row>
    <row r="64" spans="2:4" x14ac:dyDescent="0.3">
      <c r="B64" s="12">
        <v>43377</v>
      </c>
      <c r="C64" s="13">
        <f t="shared" si="0"/>
        <v>1</v>
      </c>
      <c r="D64" s="7">
        <v>416666565</v>
      </c>
    </row>
    <row r="65" spans="2:4" x14ac:dyDescent="0.3">
      <c r="B65" s="12">
        <v>43376</v>
      </c>
      <c r="C65" s="13">
        <f t="shared" si="0"/>
        <v>1</v>
      </c>
      <c r="D65" s="7">
        <v>415333232</v>
      </c>
    </row>
    <row r="66" spans="2:4" x14ac:dyDescent="0.3">
      <c r="B66" s="12">
        <v>43375</v>
      </c>
      <c r="C66" s="13">
        <f t="shared" si="0"/>
        <v>1</v>
      </c>
      <c r="D66" s="7">
        <v>412666566</v>
      </c>
    </row>
    <row r="67" spans="2:4" x14ac:dyDescent="0.3">
      <c r="B67" s="12">
        <v>43374</v>
      </c>
      <c r="C67" s="13">
        <f t="shared" si="0"/>
        <v>3</v>
      </c>
      <c r="D67" s="7">
        <v>411333233</v>
      </c>
    </row>
    <row r="68" spans="2:4" x14ac:dyDescent="0.3">
      <c r="B68" s="12">
        <v>43371</v>
      </c>
      <c r="C68" s="13">
        <f t="shared" si="0"/>
        <v>1</v>
      </c>
      <c r="D68" s="7">
        <v>408666567</v>
      </c>
    </row>
    <row r="69" spans="2:4" x14ac:dyDescent="0.3">
      <c r="B69" s="12">
        <v>43370</v>
      </c>
      <c r="C69" s="13">
        <f t="shared" si="0"/>
        <v>1</v>
      </c>
      <c r="D69" s="7">
        <v>405999901</v>
      </c>
    </row>
    <row r="70" spans="2:4" x14ac:dyDescent="0.3">
      <c r="B70" s="12">
        <v>43369</v>
      </c>
      <c r="C70" s="13">
        <f t="shared" ref="C70:C133" si="1">B70-B71</f>
        <v>1</v>
      </c>
      <c r="D70" s="7">
        <v>404666568</v>
      </c>
    </row>
    <row r="71" spans="2:4" x14ac:dyDescent="0.3">
      <c r="B71" s="12">
        <v>43368</v>
      </c>
      <c r="C71" s="13">
        <f t="shared" si="1"/>
        <v>1</v>
      </c>
      <c r="D71" s="7">
        <v>401999902</v>
      </c>
    </row>
    <row r="72" spans="2:4" x14ac:dyDescent="0.3">
      <c r="B72" s="12">
        <v>43367</v>
      </c>
      <c r="C72" s="13">
        <f t="shared" si="1"/>
        <v>3</v>
      </c>
      <c r="D72" s="7">
        <v>400666569</v>
      </c>
    </row>
    <row r="73" spans="2:4" x14ac:dyDescent="0.3">
      <c r="B73" s="12">
        <v>43364</v>
      </c>
      <c r="C73" s="13">
        <f t="shared" si="1"/>
        <v>1</v>
      </c>
      <c r="D73" s="7">
        <v>397999903</v>
      </c>
    </row>
    <row r="74" spans="2:4" x14ac:dyDescent="0.3">
      <c r="B74" s="12">
        <v>43363</v>
      </c>
      <c r="C74" s="13">
        <f t="shared" si="1"/>
        <v>1</v>
      </c>
      <c r="D74" s="7">
        <v>395333237</v>
      </c>
    </row>
    <row r="75" spans="2:4" x14ac:dyDescent="0.3">
      <c r="B75" s="12">
        <v>43362</v>
      </c>
      <c r="C75" s="13">
        <f t="shared" si="1"/>
        <v>1</v>
      </c>
      <c r="D75" s="7">
        <v>393999904</v>
      </c>
    </row>
    <row r="76" spans="2:4" x14ac:dyDescent="0.3">
      <c r="B76" s="12">
        <v>43361</v>
      </c>
      <c r="C76" s="13">
        <f t="shared" si="1"/>
        <v>1</v>
      </c>
      <c r="D76" s="7">
        <v>391333238</v>
      </c>
    </row>
    <row r="77" spans="2:4" x14ac:dyDescent="0.3">
      <c r="B77" s="12">
        <v>43360</v>
      </c>
      <c r="C77" s="13">
        <f t="shared" si="1"/>
        <v>3</v>
      </c>
      <c r="D77" s="7">
        <v>389999905</v>
      </c>
    </row>
    <row r="78" spans="2:4" x14ac:dyDescent="0.3">
      <c r="B78" s="12">
        <v>43357</v>
      </c>
      <c r="C78" s="13">
        <f t="shared" si="1"/>
        <v>1</v>
      </c>
      <c r="D78" s="7">
        <v>387333239</v>
      </c>
    </row>
    <row r="79" spans="2:4" x14ac:dyDescent="0.3">
      <c r="B79" s="12">
        <v>43356</v>
      </c>
      <c r="C79" s="13">
        <f t="shared" si="1"/>
        <v>1</v>
      </c>
      <c r="D79" s="7">
        <v>384666573</v>
      </c>
    </row>
    <row r="80" spans="2:4" x14ac:dyDescent="0.3">
      <c r="B80" s="12">
        <v>43355</v>
      </c>
      <c r="C80" s="13">
        <f t="shared" si="1"/>
        <v>1</v>
      </c>
      <c r="D80" s="7">
        <v>383333240</v>
      </c>
    </row>
    <row r="81" spans="2:4" x14ac:dyDescent="0.3">
      <c r="B81" s="12">
        <v>43354</v>
      </c>
      <c r="C81" s="13">
        <f t="shared" si="1"/>
        <v>1</v>
      </c>
      <c r="D81" s="7">
        <v>380666574</v>
      </c>
    </row>
    <row r="82" spans="2:4" x14ac:dyDescent="0.3">
      <c r="B82" s="12">
        <v>43353</v>
      </c>
      <c r="C82" s="13">
        <f t="shared" si="1"/>
        <v>3</v>
      </c>
      <c r="D82" s="7">
        <v>379333241</v>
      </c>
    </row>
    <row r="83" spans="2:4" x14ac:dyDescent="0.3">
      <c r="B83" s="12">
        <v>43350</v>
      </c>
      <c r="C83" s="13">
        <f t="shared" si="1"/>
        <v>1</v>
      </c>
      <c r="D83" s="7">
        <v>376666575</v>
      </c>
    </row>
    <row r="84" spans="2:4" x14ac:dyDescent="0.3">
      <c r="B84" s="12">
        <v>43349</v>
      </c>
      <c r="C84" s="13">
        <f t="shared" si="1"/>
        <v>1</v>
      </c>
      <c r="D84" s="7">
        <v>373999909</v>
      </c>
    </row>
    <row r="85" spans="2:4" x14ac:dyDescent="0.3">
      <c r="B85" s="12">
        <v>43348</v>
      </c>
      <c r="C85" s="13">
        <f t="shared" si="1"/>
        <v>1</v>
      </c>
      <c r="D85" s="7">
        <v>372666576</v>
      </c>
    </row>
    <row r="86" spans="2:4" x14ac:dyDescent="0.3">
      <c r="B86" s="12">
        <v>43347</v>
      </c>
      <c r="C86" s="13">
        <f t="shared" si="1"/>
        <v>1</v>
      </c>
      <c r="D86" s="7">
        <v>369999910</v>
      </c>
    </row>
    <row r="87" spans="2:4" x14ac:dyDescent="0.3">
      <c r="B87" s="12">
        <v>43346</v>
      </c>
      <c r="C87" s="13">
        <f t="shared" si="1"/>
        <v>3</v>
      </c>
      <c r="D87" s="7">
        <v>368666577</v>
      </c>
    </row>
    <row r="88" spans="2:4" x14ac:dyDescent="0.3">
      <c r="B88" s="12">
        <v>43343</v>
      </c>
      <c r="C88" s="13">
        <f t="shared" si="1"/>
        <v>1</v>
      </c>
      <c r="D88" s="7">
        <v>365999911</v>
      </c>
    </row>
    <row r="89" spans="2:4" x14ac:dyDescent="0.3">
      <c r="B89" s="12">
        <v>43342</v>
      </c>
      <c r="C89" s="13">
        <f t="shared" si="1"/>
        <v>1</v>
      </c>
      <c r="D89" s="7">
        <v>363333245</v>
      </c>
    </row>
    <row r="90" spans="2:4" x14ac:dyDescent="0.3">
      <c r="B90" s="12">
        <v>43341</v>
      </c>
      <c r="C90" s="13">
        <f t="shared" si="1"/>
        <v>1</v>
      </c>
      <c r="D90" s="7">
        <v>361999912</v>
      </c>
    </row>
    <row r="91" spans="2:4" x14ac:dyDescent="0.3">
      <c r="B91" s="12">
        <v>43340</v>
      </c>
      <c r="C91" s="13">
        <f t="shared" si="1"/>
        <v>1</v>
      </c>
      <c r="D91" s="7">
        <v>359333246</v>
      </c>
    </row>
    <row r="92" spans="2:4" x14ac:dyDescent="0.3">
      <c r="B92" s="12">
        <v>43339</v>
      </c>
      <c r="C92" s="13">
        <f t="shared" si="1"/>
        <v>3</v>
      </c>
      <c r="D92" s="7">
        <v>357999913</v>
      </c>
    </row>
    <row r="93" spans="2:4" x14ac:dyDescent="0.3">
      <c r="B93" s="12">
        <v>43336</v>
      </c>
      <c r="C93" s="13">
        <f t="shared" si="1"/>
        <v>1</v>
      </c>
      <c r="D93" s="7">
        <v>355333247</v>
      </c>
    </row>
    <row r="94" spans="2:4" x14ac:dyDescent="0.3">
      <c r="B94" s="12">
        <v>43335</v>
      </c>
      <c r="C94" s="13">
        <f t="shared" si="1"/>
        <v>1</v>
      </c>
      <c r="D94" s="7">
        <v>352666581</v>
      </c>
    </row>
    <row r="95" spans="2:4" x14ac:dyDescent="0.3">
      <c r="B95" s="12">
        <v>43334</v>
      </c>
      <c r="C95" s="13">
        <f t="shared" si="1"/>
        <v>1</v>
      </c>
      <c r="D95" s="7">
        <v>351333248</v>
      </c>
    </row>
    <row r="96" spans="2:4" x14ac:dyDescent="0.3">
      <c r="B96" s="12">
        <v>43333</v>
      </c>
      <c r="C96" s="13">
        <f t="shared" si="1"/>
        <v>1</v>
      </c>
      <c r="D96" s="7">
        <v>348666582</v>
      </c>
    </row>
    <row r="97" spans="2:4" x14ac:dyDescent="0.3">
      <c r="B97" s="12">
        <v>43332</v>
      </c>
      <c r="C97" s="13">
        <f t="shared" si="1"/>
        <v>3</v>
      </c>
      <c r="D97" s="7">
        <v>347333249</v>
      </c>
    </row>
    <row r="98" spans="2:4" x14ac:dyDescent="0.3">
      <c r="B98" s="12">
        <v>43329</v>
      </c>
      <c r="C98" s="13">
        <f t="shared" si="1"/>
        <v>1</v>
      </c>
      <c r="D98" s="7">
        <v>344666583</v>
      </c>
    </row>
    <row r="99" spans="2:4" x14ac:dyDescent="0.3">
      <c r="B99" s="12">
        <v>43328</v>
      </c>
      <c r="C99" s="13">
        <f t="shared" si="1"/>
        <v>2</v>
      </c>
      <c r="D99" s="7">
        <v>341999917</v>
      </c>
    </row>
    <row r="100" spans="2:4" x14ac:dyDescent="0.3">
      <c r="B100" s="12">
        <v>43326</v>
      </c>
      <c r="C100" s="13">
        <f t="shared" si="1"/>
        <v>1</v>
      </c>
      <c r="D100" s="7">
        <v>340666584</v>
      </c>
    </row>
    <row r="101" spans="2:4" x14ac:dyDescent="0.3">
      <c r="B101" s="12">
        <v>43325</v>
      </c>
      <c r="C101" s="13">
        <f t="shared" si="1"/>
        <v>3</v>
      </c>
      <c r="D101" s="7">
        <v>337999918</v>
      </c>
    </row>
    <row r="102" spans="2:4" x14ac:dyDescent="0.3">
      <c r="B102" s="12">
        <v>43322</v>
      </c>
      <c r="C102" s="13">
        <f t="shared" si="1"/>
        <v>1</v>
      </c>
      <c r="D102" s="7">
        <v>336666585</v>
      </c>
    </row>
    <row r="103" spans="2:4" x14ac:dyDescent="0.3">
      <c r="B103" s="12">
        <v>43321</v>
      </c>
      <c r="C103" s="13">
        <f t="shared" si="1"/>
        <v>1</v>
      </c>
      <c r="D103" s="7">
        <v>333999919</v>
      </c>
    </row>
    <row r="104" spans="2:4" x14ac:dyDescent="0.3">
      <c r="B104" s="12">
        <v>43320</v>
      </c>
      <c r="C104" s="13">
        <f t="shared" si="1"/>
        <v>1</v>
      </c>
      <c r="D104" s="7">
        <v>331333253</v>
      </c>
    </row>
    <row r="105" spans="2:4" x14ac:dyDescent="0.3">
      <c r="B105" s="12">
        <v>43319</v>
      </c>
      <c r="C105" s="13">
        <f t="shared" si="1"/>
        <v>1</v>
      </c>
      <c r="D105" s="7">
        <v>329999920</v>
      </c>
    </row>
    <row r="106" spans="2:4" x14ac:dyDescent="0.3">
      <c r="B106" s="12">
        <v>43318</v>
      </c>
      <c r="C106" s="13">
        <f t="shared" si="1"/>
        <v>3</v>
      </c>
      <c r="D106" s="7">
        <v>327333254</v>
      </c>
    </row>
    <row r="107" spans="2:4" x14ac:dyDescent="0.3">
      <c r="B107" s="12">
        <v>43315</v>
      </c>
      <c r="C107" s="13">
        <f t="shared" si="1"/>
        <v>1</v>
      </c>
      <c r="D107" s="7">
        <v>325999921</v>
      </c>
    </row>
    <row r="108" spans="2:4" x14ac:dyDescent="0.3">
      <c r="B108" s="12">
        <v>43314</v>
      </c>
      <c r="C108" s="13">
        <f t="shared" si="1"/>
        <v>1</v>
      </c>
      <c r="D108" s="7">
        <v>323333255</v>
      </c>
    </row>
    <row r="109" spans="2:4" x14ac:dyDescent="0.3">
      <c r="B109" s="12">
        <v>43313</v>
      </c>
      <c r="C109" s="13">
        <f t="shared" si="1"/>
        <v>1</v>
      </c>
      <c r="D109" s="7">
        <v>320666589</v>
      </c>
    </row>
    <row r="110" spans="2:4" x14ac:dyDescent="0.3">
      <c r="B110" s="12">
        <v>43312</v>
      </c>
      <c r="C110" s="13">
        <f t="shared" si="1"/>
        <v>1</v>
      </c>
      <c r="D110" s="7">
        <v>319333256</v>
      </c>
    </row>
    <row r="111" spans="2:4" x14ac:dyDescent="0.3">
      <c r="B111" s="12">
        <v>43311</v>
      </c>
      <c r="C111" s="13">
        <f t="shared" si="1"/>
        <v>3</v>
      </c>
      <c r="D111" s="7">
        <v>316666590</v>
      </c>
    </row>
    <row r="112" spans="2:4" x14ac:dyDescent="0.3">
      <c r="B112" s="12">
        <v>43308</v>
      </c>
      <c r="C112" s="13">
        <f t="shared" si="1"/>
        <v>1</v>
      </c>
      <c r="D112" s="7">
        <v>315333257</v>
      </c>
    </row>
    <row r="113" spans="2:4" x14ac:dyDescent="0.3">
      <c r="B113" s="12">
        <v>43307</v>
      </c>
      <c r="C113" s="13">
        <f t="shared" si="1"/>
        <v>1</v>
      </c>
      <c r="D113" s="7">
        <v>312666591</v>
      </c>
    </row>
    <row r="114" spans="2:4" x14ac:dyDescent="0.3">
      <c r="B114" s="12">
        <v>43306</v>
      </c>
      <c r="C114" s="13">
        <f t="shared" si="1"/>
        <v>1</v>
      </c>
      <c r="D114" s="7">
        <v>309999925</v>
      </c>
    </row>
    <row r="115" spans="2:4" x14ac:dyDescent="0.3">
      <c r="B115" s="12">
        <v>43305</v>
      </c>
      <c r="C115" s="13">
        <f t="shared" si="1"/>
        <v>1</v>
      </c>
      <c r="D115" s="7">
        <v>308666592</v>
      </c>
    </row>
    <row r="116" spans="2:4" x14ac:dyDescent="0.3">
      <c r="B116" s="12">
        <v>43304</v>
      </c>
      <c r="C116" s="13">
        <f t="shared" si="1"/>
        <v>3</v>
      </c>
      <c r="D116" s="7">
        <v>305999926</v>
      </c>
    </row>
    <row r="117" spans="2:4" x14ac:dyDescent="0.3">
      <c r="B117" s="12">
        <v>43301</v>
      </c>
      <c r="C117" s="13">
        <f t="shared" si="1"/>
        <v>1</v>
      </c>
      <c r="D117" s="7">
        <v>304666593</v>
      </c>
    </row>
    <row r="118" spans="2:4" x14ac:dyDescent="0.3">
      <c r="B118" s="12">
        <v>43300</v>
      </c>
      <c r="C118" s="13">
        <f t="shared" si="1"/>
        <v>1</v>
      </c>
      <c r="D118" s="7">
        <v>301999927</v>
      </c>
    </row>
    <row r="119" spans="2:4" x14ac:dyDescent="0.3">
      <c r="B119" s="12">
        <v>43299</v>
      </c>
      <c r="C119" s="13">
        <f t="shared" si="1"/>
        <v>1</v>
      </c>
      <c r="D119" s="7">
        <v>299333261</v>
      </c>
    </row>
    <row r="120" spans="2:4" x14ac:dyDescent="0.3">
      <c r="B120" s="12">
        <v>43298</v>
      </c>
      <c r="C120" s="13">
        <f t="shared" si="1"/>
        <v>1</v>
      </c>
      <c r="D120" s="7">
        <v>297999928</v>
      </c>
    </row>
    <row r="121" spans="2:4" x14ac:dyDescent="0.3">
      <c r="B121" s="12">
        <v>43297</v>
      </c>
      <c r="C121" s="13">
        <f t="shared" si="1"/>
        <v>3</v>
      </c>
      <c r="D121" s="7">
        <v>295333262</v>
      </c>
    </row>
    <row r="122" spans="2:4" x14ac:dyDescent="0.3">
      <c r="B122" s="12">
        <v>43294</v>
      </c>
      <c r="C122" s="13">
        <f t="shared" si="1"/>
        <v>1</v>
      </c>
      <c r="D122" s="7">
        <v>293999929</v>
      </c>
    </row>
    <row r="123" spans="2:4" x14ac:dyDescent="0.3">
      <c r="B123" s="12">
        <v>43293</v>
      </c>
      <c r="C123" s="13">
        <f t="shared" si="1"/>
        <v>1</v>
      </c>
      <c r="D123" s="7">
        <v>291333263</v>
      </c>
    </row>
    <row r="124" spans="2:4" x14ac:dyDescent="0.3">
      <c r="B124" s="12">
        <v>43292</v>
      </c>
      <c r="C124" s="13">
        <f t="shared" si="1"/>
        <v>1</v>
      </c>
      <c r="D124" s="7">
        <v>288666597</v>
      </c>
    </row>
    <row r="125" spans="2:4" x14ac:dyDescent="0.3">
      <c r="B125" s="12">
        <v>43291</v>
      </c>
      <c r="C125" s="13">
        <f t="shared" si="1"/>
        <v>1</v>
      </c>
      <c r="D125" s="7">
        <v>287333264</v>
      </c>
    </row>
    <row r="126" spans="2:4" x14ac:dyDescent="0.3">
      <c r="B126" s="12">
        <v>43290</v>
      </c>
      <c r="C126" s="13">
        <f t="shared" si="1"/>
        <v>3</v>
      </c>
      <c r="D126" s="7">
        <v>284666598</v>
      </c>
    </row>
    <row r="127" spans="2:4" x14ac:dyDescent="0.3">
      <c r="B127" s="12">
        <v>43287</v>
      </c>
      <c r="C127" s="13">
        <f t="shared" si="1"/>
        <v>1</v>
      </c>
      <c r="D127" s="7">
        <v>283333265</v>
      </c>
    </row>
    <row r="128" spans="2:4" x14ac:dyDescent="0.3">
      <c r="B128" s="12">
        <v>43286</v>
      </c>
      <c r="C128" s="13">
        <f t="shared" si="1"/>
        <v>1</v>
      </c>
      <c r="D128" s="7">
        <v>280666599</v>
      </c>
    </row>
    <row r="129" spans="2:4" x14ac:dyDescent="0.3">
      <c r="B129" s="12">
        <v>43285</v>
      </c>
      <c r="C129" s="13">
        <f t="shared" si="1"/>
        <v>1</v>
      </c>
      <c r="D129" s="7">
        <v>277999933</v>
      </c>
    </row>
    <row r="130" spans="2:4" x14ac:dyDescent="0.3">
      <c r="B130" s="12">
        <v>43284</v>
      </c>
      <c r="C130" s="13">
        <f t="shared" si="1"/>
        <v>1</v>
      </c>
      <c r="D130" s="7">
        <v>276666600</v>
      </c>
    </row>
    <row r="131" spans="2:4" x14ac:dyDescent="0.3">
      <c r="B131" s="12">
        <v>43283</v>
      </c>
      <c r="C131" s="13">
        <f t="shared" si="1"/>
        <v>3</v>
      </c>
      <c r="D131" s="7">
        <v>273999934</v>
      </c>
    </row>
    <row r="132" spans="2:4" x14ac:dyDescent="0.3">
      <c r="B132" s="12">
        <v>43280</v>
      </c>
      <c r="C132" s="13">
        <f t="shared" si="1"/>
        <v>1</v>
      </c>
      <c r="D132" s="7">
        <v>272666601</v>
      </c>
    </row>
    <row r="133" spans="2:4" x14ac:dyDescent="0.3">
      <c r="B133" s="12">
        <v>43279</v>
      </c>
      <c r="C133" s="13">
        <f t="shared" si="1"/>
        <v>1</v>
      </c>
      <c r="D133" s="7">
        <v>269999935</v>
      </c>
    </row>
    <row r="134" spans="2:4" x14ac:dyDescent="0.3">
      <c r="B134" s="12">
        <v>43278</v>
      </c>
      <c r="C134" s="13">
        <f t="shared" ref="C134:C197" si="2">B134-B135</f>
        <v>1</v>
      </c>
      <c r="D134" s="7">
        <v>267333269</v>
      </c>
    </row>
    <row r="135" spans="2:4" x14ac:dyDescent="0.3">
      <c r="B135" s="12">
        <v>43277</v>
      </c>
      <c r="C135" s="13">
        <f t="shared" si="2"/>
        <v>1</v>
      </c>
      <c r="D135" s="7">
        <v>265999936</v>
      </c>
    </row>
    <row r="136" spans="2:4" x14ac:dyDescent="0.3">
      <c r="B136" s="12">
        <v>43276</v>
      </c>
      <c r="C136" s="13">
        <f t="shared" si="2"/>
        <v>3</v>
      </c>
      <c r="D136" s="7">
        <v>263333270</v>
      </c>
    </row>
    <row r="137" spans="2:4" x14ac:dyDescent="0.3">
      <c r="B137" s="12">
        <v>43273</v>
      </c>
      <c r="C137" s="13">
        <f t="shared" si="2"/>
        <v>1</v>
      </c>
      <c r="D137" s="7">
        <v>261999937</v>
      </c>
    </row>
    <row r="138" spans="2:4" x14ac:dyDescent="0.3">
      <c r="B138" s="12">
        <v>43272</v>
      </c>
      <c r="C138" s="13">
        <f t="shared" si="2"/>
        <v>1</v>
      </c>
      <c r="D138" s="7">
        <v>259333271</v>
      </c>
    </row>
    <row r="139" spans="2:4" x14ac:dyDescent="0.3">
      <c r="B139" s="12">
        <v>43271</v>
      </c>
      <c r="C139" s="13">
        <f t="shared" si="2"/>
        <v>1</v>
      </c>
      <c r="D139" s="7">
        <v>256666605</v>
      </c>
    </row>
    <row r="140" spans="2:4" x14ac:dyDescent="0.3">
      <c r="B140" s="12">
        <v>43270</v>
      </c>
      <c r="C140" s="13">
        <f t="shared" si="2"/>
        <v>1</v>
      </c>
      <c r="D140" s="7">
        <v>255333272</v>
      </c>
    </row>
    <row r="141" spans="2:4" x14ac:dyDescent="0.3">
      <c r="B141" s="12">
        <v>43269</v>
      </c>
      <c r="C141" s="13">
        <f t="shared" si="2"/>
        <v>3</v>
      </c>
      <c r="D141" s="7">
        <v>252666606</v>
      </c>
    </row>
    <row r="142" spans="2:4" x14ac:dyDescent="0.3">
      <c r="B142" s="12">
        <v>43266</v>
      </c>
      <c r="C142" s="13">
        <f t="shared" si="2"/>
        <v>1</v>
      </c>
      <c r="D142" s="7">
        <v>251333273</v>
      </c>
    </row>
    <row r="143" spans="2:4" x14ac:dyDescent="0.3">
      <c r="B143" s="12">
        <v>43265</v>
      </c>
      <c r="C143" s="13">
        <f t="shared" si="2"/>
        <v>1</v>
      </c>
      <c r="D143" s="7">
        <v>248666607</v>
      </c>
    </row>
    <row r="144" spans="2:4" x14ac:dyDescent="0.3">
      <c r="B144" s="12">
        <v>43264</v>
      </c>
      <c r="C144" s="13">
        <f t="shared" si="2"/>
        <v>1</v>
      </c>
      <c r="D144" s="7">
        <v>245999941</v>
      </c>
    </row>
    <row r="145" spans="2:4" x14ac:dyDescent="0.3">
      <c r="B145" s="12">
        <v>43263</v>
      </c>
      <c r="C145" s="13">
        <f t="shared" si="2"/>
        <v>1</v>
      </c>
      <c r="D145" s="7">
        <v>244666608</v>
      </c>
    </row>
    <row r="146" spans="2:4" x14ac:dyDescent="0.3">
      <c r="B146" s="12">
        <v>43262</v>
      </c>
      <c r="C146" s="13">
        <f t="shared" si="2"/>
        <v>3</v>
      </c>
      <c r="D146" s="7">
        <v>241999942</v>
      </c>
    </row>
    <row r="147" spans="2:4" x14ac:dyDescent="0.3">
      <c r="B147" s="12">
        <v>43259</v>
      </c>
      <c r="C147" s="13">
        <f t="shared" si="2"/>
        <v>1</v>
      </c>
      <c r="D147" s="7">
        <v>240666609</v>
      </c>
    </row>
    <row r="148" spans="2:4" x14ac:dyDescent="0.3">
      <c r="B148" s="12">
        <v>43258</v>
      </c>
      <c r="C148" s="13">
        <f t="shared" si="2"/>
        <v>1</v>
      </c>
      <c r="D148" s="7">
        <v>237999943</v>
      </c>
    </row>
    <row r="149" spans="2:4" x14ac:dyDescent="0.3">
      <c r="B149" s="12">
        <v>43257</v>
      </c>
      <c r="C149" s="13">
        <f t="shared" si="2"/>
        <v>1</v>
      </c>
      <c r="D149" s="7">
        <v>235333277</v>
      </c>
    </row>
    <row r="150" spans="2:4" x14ac:dyDescent="0.3">
      <c r="B150" s="12">
        <v>43256</v>
      </c>
      <c r="C150" s="13">
        <f t="shared" si="2"/>
        <v>1</v>
      </c>
      <c r="D150" s="7">
        <v>233999944</v>
      </c>
    </row>
    <row r="151" spans="2:4" x14ac:dyDescent="0.3">
      <c r="B151" s="12">
        <v>43255</v>
      </c>
      <c r="C151" s="13">
        <f t="shared" si="2"/>
        <v>3</v>
      </c>
      <c r="D151" s="7">
        <v>231333278</v>
      </c>
    </row>
    <row r="152" spans="2:4" x14ac:dyDescent="0.3">
      <c r="B152" s="12">
        <v>43252</v>
      </c>
      <c r="C152" s="13">
        <f t="shared" si="2"/>
        <v>1</v>
      </c>
      <c r="D152" s="7">
        <v>229999945</v>
      </c>
    </row>
    <row r="153" spans="2:4" x14ac:dyDescent="0.3">
      <c r="B153" s="12">
        <v>43251</v>
      </c>
      <c r="C153" s="13">
        <f t="shared" si="2"/>
        <v>1</v>
      </c>
      <c r="D153" s="7">
        <v>227333279</v>
      </c>
    </row>
    <row r="154" spans="2:4" x14ac:dyDescent="0.3">
      <c r="B154" s="12">
        <v>43250</v>
      </c>
      <c r="C154" s="13">
        <f t="shared" si="2"/>
        <v>1</v>
      </c>
      <c r="D154" s="7">
        <v>224666613</v>
      </c>
    </row>
    <row r="155" spans="2:4" x14ac:dyDescent="0.3">
      <c r="B155" s="12">
        <v>43249</v>
      </c>
      <c r="C155" s="13">
        <f t="shared" si="2"/>
        <v>1</v>
      </c>
      <c r="D155" s="7">
        <v>223333280</v>
      </c>
    </row>
    <row r="156" spans="2:4" x14ac:dyDescent="0.3">
      <c r="B156" s="12">
        <v>43248</v>
      </c>
      <c r="C156" s="13">
        <f t="shared" si="2"/>
        <v>3</v>
      </c>
      <c r="D156" s="7">
        <v>220666614</v>
      </c>
    </row>
    <row r="157" spans="2:4" x14ac:dyDescent="0.3">
      <c r="B157" s="12">
        <v>43245</v>
      </c>
      <c r="C157" s="13">
        <f t="shared" si="2"/>
        <v>1</v>
      </c>
      <c r="D157" s="7">
        <v>219333281</v>
      </c>
    </row>
    <row r="158" spans="2:4" x14ac:dyDescent="0.3">
      <c r="B158" s="12">
        <v>43244</v>
      </c>
      <c r="C158" s="13">
        <f t="shared" si="2"/>
        <v>1</v>
      </c>
      <c r="D158" s="7">
        <v>216666615</v>
      </c>
    </row>
    <row r="159" spans="2:4" x14ac:dyDescent="0.3">
      <c r="B159" s="12">
        <v>43243</v>
      </c>
      <c r="C159" s="13">
        <f t="shared" si="2"/>
        <v>1</v>
      </c>
      <c r="D159" s="7">
        <v>213999949</v>
      </c>
    </row>
    <row r="160" spans="2:4" x14ac:dyDescent="0.3">
      <c r="B160" s="12">
        <v>43242</v>
      </c>
      <c r="C160" s="13">
        <f t="shared" si="2"/>
        <v>4</v>
      </c>
      <c r="D160" s="7">
        <v>212666616</v>
      </c>
    </row>
    <row r="161" spans="2:4" x14ac:dyDescent="0.3">
      <c r="B161" s="12">
        <v>43238</v>
      </c>
      <c r="C161" s="13">
        <f t="shared" si="2"/>
        <v>1</v>
      </c>
      <c r="D161" s="7">
        <v>209999950</v>
      </c>
    </row>
    <row r="162" spans="2:4" x14ac:dyDescent="0.3">
      <c r="B162" s="12">
        <v>43237</v>
      </c>
      <c r="C162" s="13">
        <f t="shared" si="2"/>
        <v>1</v>
      </c>
      <c r="D162" s="7">
        <v>208666617</v>
      </c>
    </row>
    <row r="163" spans="2:4" x14ac:dyDescent="0.3">
      <c r="B163" s="12">
        <v>43236</v>
      </c>
      <c r="C163" s="13">
        <f t="shared" si="2"/>
        <v>1</v>
      </c>
      <c r="D163" s="7">
        <v>205999951</v>
      </c>
    </row>
    <row r="164" spans="2:4" x14ac:dyDescent="0.3">
      <c r="B164" s="12">
        <v>43235</v>
      </c>
      <c r="C164" s="13">
        <f t="shared" si="2"/>
        <v>1</v>
      </c>
      <c r="D164" s="7">
        <v>203333285</v>
      </c>
    </row>
    <row r="165" spans="2:4" x14ac:dyDescent="0.3">
      <c r="B165" s="12">
        <v>43234</v>
      </c>
      <c r="C165" s="13">
        <f t="shared" si="2"/>
        <v>3</v>
      </c>
      <c r="D165" s="7">
        <v>201999952</v>
      </c>
    </row>
    <row r="166" spans="2:4" x14ac:dyDescent="0.3">
      <c r="B166" s="12">
        <v>43231</v>
      </c>
      <c r="C166" s="13">
        <f t="shared" si="2"/>
        <v>2</v>
      </c>
      <c r="D166" s="7">
        <v>199333286</v>
      </c>
    </row>
    <row r="167" spans="2:4" x14ac:dyDescent="0.3">
      <c r="B167" s="12">
        <v>43229</v>
      </c>
      <c r="C167" s="13">
        <f t="shared" si="2"/>
        <v>1</v>
      </c>
      <c r="D167" s="7">
        <v>197999953</v>
      </c>
    </row>
    <row r="168" spans="2:4" x14ac:dyDescent="0.3">
      <c r="B168" s="12">
        <v>43228</v>
      </c>
      <c r="C168" s="13">
        <f t="shared" si="2"/>
        <v>1</v>
      </c>
      <c r="D168" s="7">
        <v>195333287</v>
      </c>
    </row>
    <row r="169" spans="2:4" x14ac:dyDescent="0.3">
      <c r="B169" s="12">
        <v>43227</v>
      </c>
      <c r="C169" s="13">
        <f t="shared" si="2"/>
        <v>3</v>
      </c>
      <c r="D169" s="7">
        <v>192666621</v>
      </c>
    </row>
    <row r="170" spans="2:4" x14ac:dyDescent="0.3">
      <c r="B170" s="12">
        <v>43224</v>
      </c>
      <c r="C170" s="13">
        <f t="shared" si="2"/>
        <v>1</v>
      </c>
      <c r="D170" s="7">
        <v>191333288</v>
      </c>
    </row>
    <row r="171" spans="2:4" x14ac:dyDescent="0.3">
      <c r="B171" s="12">
        <v>43223</v>
      </c>
      <c r="C171" s="13">
        <f t="shared" si="2"/>
        <v>1</v>
      </c>
      <c r="D171" s="7">
        <v>188666622</v>
      </c>
    </row>
    <row r="172" spans="2:4" x14ac:dyDescent="0.3">
      <c r="B172" s="12">
        <v>43222</v>
      </c>
      <c r="C172" s="13">
        <f t="shared" si="2"/>
        <v>2</v>
      </c>
      <c r="D172" s="7">
        <v>187333289</v>
      </c>
    </row>
    <row r="173" spans="2:4" x14ac:dyDescent="0.3">
      <c r="B173" s="12">
        <v>43220</v>
      </c>
      <c r="C173" s="13">
        <f t="shared" si="2"/>
        <v>3</v>
      </c>
      <c r="D173" s="7">
        <v>184666623</v>
      </c>
    </row>
    <row r="174" spans="2:4" x14ac:dyDescent="0.3">
      <c r="B174" s="12">
        <v>43217</v>
      </c>
      <c r="C174" s="13">
        <f t="shared" si="2"/>
        <v>1</v>
      </c>
      <c r="D174" s="7">
        <v>181999957</v>
      </c>
    </row>
    <row r="175" spans="2:4" x14ac:dyDescent="0.3">
      <c r="B175" s="12">
        <v>43216</v>
      </c>
      <c r="C175" s="13">
        <f t="shared" si="2"/>
        <v>1</v>
      </c>
      <c r="D175" s="7">
        <v>180666624</v>
      </c>
    </row>
    <row r="176" spans="2:4" x14ac:dyDescent="0.3">
      <c r="B176" s="12">
        <v>43215</v>
      </c>
      <c r="C176" s="13">
        <f t="shared" si="2"/>
        <v>1</v>
      </c>
      <c r="D176" s="7">
        <v>177999958</v>
      </c>
    </row>
    <row r="177" spans="2:4" x14ac:dyDescent="0.3">
      <c r="B177" s="12">
        <v>43214</v>
      </c>
      <c r="C177" s="13">
        <f t="shared" si="2"/>
        <v>1</v>
      </c>
      <c r="D177" s="7">
        <v>176666625</v>
      </c>
    </row>
    <row r="178" spans="2:4" x14ac:dyDescent="0.3">
      <c r="B178" s="12">
        <v>43213</v>
      </c>
      <c r="C178" s="13">
        <f t="shared" si="2"/>
        <v>3</v>
      </c>
      <c r="D178" s="7">
        <v>173999959</v>
      </c>
    </row>
    <row r="179" spans="2:4" x14ac:dyDescent="0.3">
      <c r="B179" s="12">
        <v>43210</v>
      </c>
      <c r="C179" s="13">
        <f t="shared" si="2"/>
        <v>1</v>
      </c>
      <c r="D179" s="7">
        <v>171333293</v>
      </c>
    </row>
    <row r="180" spans="2:4" x14ac:dyDescent="0.3">
      <c r="B180" s="12">
        <v>43209</v>
      </c>
      <c r="C180" s="13">
        <f t="shared" si="2"/>
        <v>1</v>
      </c>
      <c r="D180" s="7">
        <v>169999960</v>
      </c>
    </row>
    <row r="181" spans="2:4" x14ac:dyDescent="0.3">
      <c r="B181" s="12">
        <v>43208</v>
      </c>
      <c r="C181" s="13">
        <f t="shared" si="2"/>
        <v>1</v>
      </c>
      <c r="D181" s="7">
        <v>167333294</v>
      </c>
    </row>
    <row r="182" spans="2:4" x14ac:dyDescent="0.3">
      <c r="B182" s="12">
        <v>43207</v>
      </c>
      <c r="C182" s="13">
        <f t="shared" si="2"/>
        <v>1</v>
      </c>
      <c r="D182" s="7">
        <v>165999961</v>
      </c>
    </row>
    <row r="183" spans="2:4" x14ac:dyDescent="0.3">
      <c r="B183" s="12">
        <v>43206</v>
      </c>
      <c r="C183" s="13">
        <f t="shared" si="2"/>
        <v>3</v>
      </c>
      <c r="D183" s="7">
        <v>163333295</v>
      </c>
    </row>
    <row r="184" spans="2:4" x14ac:dyDescent="0.3">
      <c r="B184" s="12">
        <v>43203</v>
      </c>
      <c r="C184" s="13">
        <f t="shared" si="2"/>
        <v>1</v>
      </c>
      <c r="D184" s="7">
        <v>160666629</v>
      </c>
    </row>
    <row r="185" spans="2:4" x14ac:dyDescent="0.3">
      <c r="B185" s="12">
        <v>43202</v>
      </c>
      <c r="C185" s="13">
        <f t="shared" si="2"/>
        <v>1</v>
      </c>
      <c r="D185" s="7">
        <v>159333296</v>
      </c>
    </row>
    <row r="186" spans="2:4" x14ac:dyDescent="0.3">
      <c r="B186" s="12">
        <v>43201</v>
      </c>
      <c r="C186" s="13">
        <f t="shared" si="2"/>
        <v>1</v>
      </c>
      <c r="D186" s="7">
        <v>156666630</v>
      </c>
    </row>
    <row r="187" spans="2:4" x14ac:dyDescent="0.3">
      <c r="B187" s="12">
        <v>43200</v>
      </c>
      <c r="C187" s="13">
        <f t="shared" si="2"/>
        <v>1</v>
      </c>
      <c r="D187" s="7">
        <v>155333297</v>
      </c>
    </row>
    <row r="188" spans="2:4" x14ac:dyDescent="0.3">
      <c r="B188" s="12">
        <v>43199</v>
      </c>
      <c r="C188" s="13">
        <f t="shared" si="2"/>
        <v>3</v>
      </c>
      <c r="D188" s="7">
        <v>152666631</v>
      </c>
    </row>
    <row r="189" spans="2:4" x14ac:dyDescent="0.3">
      <c r="B189" s="12">
        <v>43196</v>
      </c>
      <c r="C189" s="13">
        <f t="shared" si="2"/>
        <v>1</v>
      </c>
      <c r="D189" s="7">
        <v>149999965</v>
      </c>
    </row>
    <row r="190" spans="2:4" x14ac:dyDescent="0.3">
      <c r="B190" s="12">
        <v>43195</v>
      </c>
      <c r="C190" s="13">
        <f t="shared" si="2"/>
        <v>1</v>
      </c>
      <c r="D190" s="7">
        <v>148666632</v>
      </c>
    </row>
    <row r="191" spans="2:4" x14ac:dyDescent="0.3">
      <c r="B191" s="12">
        <v>43194</v>
      </c>
      <c r="C191" s="13">
        <f t="shared" si="2"/>
        <v>1</v>
      </c>
      <c r="D191" s="7">
        <v>145999966</v>
      </c>
    </row>
    <row r="192" spans="2:4" x14ac:dyDescent="0.3">
      <c r="B192" s="12">
        <v>43193</v>
      </c>
      <c r="C192" s="13">
        <f t="shared" si="2"/>
        <v>5</v>
      </c>
      <c r="D192" s="7">
        <v>144666633</v>
      </c>
    </row>
    <row r="193" spans="2:4" x14ac:dyDescent="0.3">
      <c r="B193" s="12">
        <v>43188</v>
      </c>
      <c r="C193" s="13">
        <f t="shared" si="2"/>
        <v>1</v>
      </c>
      <c r="D193" s="7">
        <v>141999967</v>
      </c>
    </row>
    <row r="194" spans="2:4" x14ac:dyDescent="0.3">
      <c r="B194" s="12">
        <v>43187</v>
      </c>
      <c r="C194" s="13">
        <f t="shared" si="2"/>
        <v>1</v>
      </c>
      <c r="D194" s="7">
        <v>139333301</v>
      </c>
    </row>
    <row r="195" spans="2:4" x14ac:dyDescent="0.3">
      <c r="B195" s="12">
        <v>43186</v>
      </c>
      <c r="C195" s="13">
        <f t="shared" si="2"/>
        <v>1</v>
      </c>
      <c r="D195" s="7">
        <v>137999968</v>
      </c>
    </row>
    <row r="196" spans="2:4" x14ac:dyDescent="0.3">
      <c r="B196" s="12">
        <v>43185</v>
      </c>
      <c r="C196" s="13">
        <f t="shared" si="2"/>
        <v>3</v>
      </c>
      <c r="D196" s="7">
        <v>135333302</v>
      </c>
    </row>
    <row r="197" spans="2:4" x14ac:dyDescent="0.3">
      <c r="B197" s="12">
        <v>43182</v>
      </c>
      <c r="C197" s="13">
        <f t="shared" si="2"/>
        <v>1</v>
      </c>
      <c r="D197" s="7">
        <v>133999969</v>
      </c>
    </row>
    <row r="198" spans="2:4" x14ac:dyDescent="0.3">
      <c r="B198" s="12">
        <v>43181</v>
      </c>
      <c r="C198" s="13">
        <f t="shared" ref="C198:C254" si="3">B198-B199</f>
        <v>1</v>
      </c>
      <c r="D198" s="7">
        <v>131333303</v>
      </c>
    </row>
    <row r="199" spans="2:4" x14ac:dyDescent="0.3">
      <c r="B199" s="12">
        <v>43180</v>
      </c>
      <c r="C199" s="13">
        <f t="shared" si="3"/>
        <v>1</v>
      </c>
      <c r="D199" s="7">
        <v>128666637</v>
      </c>
    </row>
    <row r="200" spans="2:4" x14ac:dyDescent="0.3">
      <c r="B200" s="12">
        <v>43179</v>
      </c>
      <c r="C200" s="13">
        <f t="shared" si="3"/>
        <v>1</v>
      </c>
      <c r="D200" s="7">
        <v>127333304</v>
      </c>
    </row>
    <row r="201" spans="2:4" x14ac:dyDescent="0.3">
      <c r="B201" s="12">
        <v>43178</v>
      </c>
      <c r="C201" s="13">
        <f t="shared" si="3"/>
        <v>3</v>
      </c>
      <c r="D201" s="7">
        <v>124666638</v>
      </c>
    </row>
    <row r="202" spans="2:4" x14ac:dyDescent="0.3">
      <c r="B202" s="12">
        <v>43175</v>
      </c>
      <c r="C202" s="13">
        <f t="shared" si="3"/>
        <v>1</v>
      </c>
      <c r="D202" s="7">
        <v>123333305</v>
      </c>
    </row>
    <row r="203" spans="2:4" x14ac:dyDescent="0.3">
      <c r="B203" s="12">
        <v>43174</v>
      </c>
      <c r="C203" s="13">
        <f t="shared" si="3"/>
        <v>1</v>
      </c>
      <c r="D203" s="7">
        <v>120666639</v>
      </c>
    </row>
    <row r="204" spans="2:4" x14ac:dyDescent="0.3">
      <c r="B204" s="12">
        <v>43173</v>
      </c>
      <c r="C204" s="13">
        <f t="shared" si="3"/>
        <v>1</v>
      </c>
      <c r="D204" s="7">
        <v>117999973</v>
      </c>
    </row>
    <row r="205" spans="2:4" x14ac:dyDescent="0.3">
      <c r="B205" s="12">
        <v>43172</v>
      </c>
      <c r="C205" s="13">
        <f t="shared" si="3"/>
        <v>1</v>
      </c>
      <c r="D205" s="7">
        <v>116666640</v>
      </c>
    </row>
    <row r="206" spans="2:4" x14ac:dyDescent="0.3">
      <c r="B206" s="12">
        <v>43171</v>
      </c>
      <c r="C206" s="13">
        <f t="shared" si="3"/>
        <v>3</v>
      </c>
      <c r="D206" s="7">
        <v>113999974</v>
      </c>
    </row>
    <row r="207" spans="2:4" x14ac:dyDescent="0.3">
      <c r="B207" s="12">
        <v>43168</v>
      </c>
      <c r="C207" s="13">
        <f t="shared" si="3"/>
        <v>1</v>
      </c>
      <c r="D207" s="7">
        <v>112666641</v>
      </c>
    </row>
    <row r="208" spans="2:4" x14ac:dyDescent="0.3">
      <c r="B208" s="12">
        <v>43167</v>
      </c>
      <c r="C208" s="13">
        <f t="shared" si="3"/>
        <v>1</v>
      </c>
      <c r="D208" s="7">
        <v>109999975</v>
      </c>
    </row>
    <row r="209" spans="2:4" x14ac:dyDescent="0.3">
      <c r="B209" s="12">
        <v>43166</v>
      </c>
      <c r="C209" s="13">
        <f t="shared" si="3"/>
        <v>1</v>
      </c>
      <c r="D209" s="7">
        <v>107333309</v>
      </c>
    </row>
    <row r="210" spans="2:4" x14ac:dyDescent="0.3">
      <c r="B210" s="12">
        <v>43165</v>
      </c>
      <c r="C210" s="13">
        <f t="shared" si="3"/>
        <v>1</v>
      </c>
      <c r="D210" s="7">
        <v>105999976</v>
      </c>
    </row>
    <row r="211" spans="2:4" x14ac:dyDescent="0.3">
      <c r="B211" s="12">
        <v>43164</v>
      </c>
      <c r="C211" s="13">
        <f t="shared" si="3"/>
        <v>3</v>
      </c>
      <c r="D211" s="7">
        <v>103333310</v>
      </c>
    </row>
    <row r="212" spans="2:4" x14ac:dyDescent="0.3">
      <c r="B212" s="12">
        <v>43161</v>
      </c>
      <c r="C212" s="13">
        <f t="shared" si="3"/>
        <v>1</v>
      </c>
      <c r="D212" s="7">
        <v>101999977</v>
      </c>
    </row>
    <row r="213" spans="2:4" x14ac:dyDescent="0.3">
      <c r="B213" s="12">
        <v>43160</v>
      </c>
      <c r="C213" s="13">
        <f t="shared" si="3"/>
        <v>1</v>
      </c>
      <c r="D213" s="7">
        <v>99333311</v>
      </c>
    </row>
    <row r="214" spans="2:4" x14ac:dyDescent="0.3">
      <c r="B214" s="12">
        <v>43159</v>
      </c>
      <c r="C214" s="13">
        <f t="shared" si="3"/>
        <v>1</v>
      </c>
      <c r="D214" s="7">
        <v>96666645</v>
      </c>
    </row>
    <row r="215" spans="2:4" x14ac:dyDescent="0.3">
      <c r="B215" s="12">
        <v>43158</v>
      </c>
      <c r="C215" s="13">
        <f t="shared" si="3"/>
        <v>1</v>
      </c>
      <c r="D215" s="7">
        <v>95333312</v>
      </c>
    </row>
    <row r="216" spans="2:4" x14ac:dyDescent="0.3">
      <c r="B216" s="12">
        <v>43157</v>
      </c>
      <c r="C216" s="13">
        <f t="shared" si="3"/>
        <v>3</v>
      </c>
      <c r="D216" s="7">
        <v>92666646</v>
      </c>
    </row>
    <row r="217" spans="2:4" x14ac:dyDescent="0.3">
      <c r="B217" s="12">
        <v>43154</v>
      </c>
      <c r="C217" s="13">
        <f t="shared" si="3"/>
        <v>1</v>
      </c>
      <c r="D217" s="7">
        <v>91333313</v>
      </c>
    </row>
    <row r="218" spans="2:4" x14ac:dyDescent="0.3">
      <c r="B218" s="12">
        <v>43153</v>
      </c>
      <c r="C218" s="13">
        <f t="shared" si="3"/>
        <v>1</v>
      </c>
      <c r="D218" s="7">
        <v>88666647</v>
      </c>
    </row>
    <row r="219" spans="2:4" x14ac:dyDescent="0.3">
      <c r="B219" s="12">
        <v>43152</v>
      </c>
      <c r="C219" s="13">
        <f t="shared" si="3"/>
        <v>1</v>
      </c>
      <c r="D219" s="7">
        <v>85999981</v>
      </c>
    </row>
    <row r="220" spans="2:4" x14ac:dyDescent="0.3">
      <c r="B220" s="12">
        <v>43151</v>
      </c>
      <c r="C220" s="13">
        <f t="shared" si="3"/>
        <v>1</v>
      </c>
      <c r="D220" s="7">
        <v>84666648</v>
      </c>
    </row>
    <row r="221" spans="2:4" x14ac:dyDescent="0.3">
      <c r="B221" s="12">
        <v>43150</v>
      </c>
      <c r="C221" s="13">
        <f t="shared" si="3"/>
        <v>3</v>
      </c>
      <c r="D221" s="7">
        <v>81999982</v>
      </c>
    </row>
    <row r="222" spans="2:4" x14ac:dyDescent="0.3">
      <c r="B222" s="12">
        <v>43147</v>
      </c>
      <c r="C222" s="13">
        <f t="shared" si="3"/>
        <v>1</v>
      </c>
      <c r="D222" s="7">
        <v>80666649</v>
      </c>
    </row>
    <row r="223" spans="2:4" x14ac:dyDescent="0.3">
      <c r="B223" s="12">
        <v>43146</v>
      </c>
      <c r="C223" s="13">
        <f t="shared" si="3"/>
        <v>1</v>
      </c>
      <c r="D223" s="7">
        <v>77999983</v>
      </c>
    </row>
    <row r="224" spans="2:4" x14ac:dyDescent="0.3">
      <c r="B224" s="12">
        <v>43145</v>
      </c>
      <c r="C224" s="13">
        <f t="shared" si="3"/>
        <v>1</v>
      </c>
      <c r="D224" s="7">
        <v>75333317</v>
      </c>
    </row>
    <row r="225" spans="2:4" x14ac:dyDescent="0.3">
      <c r="B225" s="12">
        <v>43144</v>
      </c>
      <c r="C225" s="13">
        <f t="shared" si="3"/>
        <v>1</v>
      </c>
      <c r="D225" s="7">
        <v>73999984</v>
      </c>
    </row>
    <row r="226" spans="2:4" x14ac:dyDescent="0.3">
      <c r="B226" s="12">
        <v>43143</v>
      </c>
      <c r="C226" s="13">
        <f t="shared" si="3"/>
        <v>3</v>
      </c>
      <c r="D226" s="7">
        <v>71333318</v>
      </c>
    </row>
    <row r="227" spans="2:4" x14ac:dyDescent="0.3">
      <c r="B227" s="12">
        <v>43140</v>
      </c>
      <c r="C227" s="13">
        <f t="shared" si="3"/>
        <v>1</v>
      </c>
      <c r="D227" s="7">
        <v>69999985</v>
      </c>
    </row>
    <row r="228" spans="2:4" x14ac:dyDescent="0.3">
      <c r="B228" s="12">
        <v>43139</v>
      </c>
      <c r="C228" s="13">
        <f t="shared" si="3"/>
        <v>1</v>
      </c>
      <c r="D228" s="7">
        <v>67333319</v>
      </c>
    </row>
    <row r="229" spans="2:4" x14ac:dyDescent="0.3">
      <c r="B229" s="12">
        <v>43138</v>
      </c>
      <c r="C229" s="13">
        <f t="shared" si="3"/>
        <v>1</v>
      </c>
      <c r="D229" s="7">
        <v>64666653</v>
      </c>
    </row>
    <row r="230" spans="2:4" x14ac:dyDescent="0.3">
      <c r="B230" s="12">
        <v>43137</v>
      </c>
      <c r="C230" s="13">
        <f t="shared" si="3"/>
        <v>1</v>
      </c>
      <c r="D230" s="7">
        <v>63333320</v>
      </c>
    </row>
    <row r="231" spans="2:4" x14ac:dyDescent="0.3">
      <c r="B231" s="12">
        <v>43136</v>
      </c>
      <c r="C231" s="13">
        <f t="shared" si="3"/>
        <v>3</v>
      </c>
      <c r="D231" s="7">
        <v>60666654</v>
      </c>
    </row>
    <row r="232" spans="2:4" x14ac:dyDescent="0.3">
      <c r="B232" s="12">
        <v>43133</v>
      </c>
      <c r="C232" s="13">
        <f t="shared" si="3"/>
        <v>1</v>
      </c>
      <c r="D232" s="7">
        <v>59333321</v>
      </c>
    </row>
    <row r="233" spans="2:4" x14ac:dyDescent="0.3">
      <c r="B233" s="12">
        <v>43132</v>
      </c>
      <c r="C233" s="13">
        <f t="shared" si="3"/>
        <v>1</v>
      </c>
      <c r="D233" s="7">
        <v>56666655</v>
      </c>
    </row>
    <row r="234" spans="2:4" x14ac:dyDescent="0.3">
      <c r="B234" s="12">
        <v>43131</v>
      </c>
      <c r="C234" s="13">
        <f t="shared" si="3"/>
        <v>1</v>
      </c>
      <c r="D234" s="7">
        <v>53999989</v>
      </c>
    </row>
    <row r="235" spans="2:4" x14ac:dyDescent="0.3">
      <c r="B235" s="12">
        <v>43130</v>
      </c>
      <c r="C235" s="13">
        <f t="shared" si="3"/>
        <v>1</v>
      </c>
      <c r="D235" s="7">
        <v>52666656</v>
      </c>
    </row>
    <row r="236" spans="2:4" x14ac:dyDescent="0.3">
      <c r="B236" s="12">
        <v>43129</v>
      </c>
      <c r="C236" s="13">
        <f t="shared" si="3"/>
        <v>3</v>
      </c>
      <c r="D236" s="7">
        <v>49999990</v>
      </c>
    </row>
    <row r="237" spans="2:4" x14ac:dyDescent="0.3">
      <c r="B237" s="12">
        <v>43126</v>
      </c>
      <c r="C237" s="13">
        <f t="shared" si="3"/>
        <v>1</v>
      </c>
      <c r="D237" s="7">
        <v>48666657</v>
      </c>
    </row>
    <row r="238" spans="2:4" x14ac:dyDescent="0.3">
      <c r="B238" s="12">
        <v>43125</v>
      </c>
      <c r="C238" s="13">
        <f t="shared" si="3"/>
        <v>1</v>
      </c>
      <c r="D238" s="7">
        <v>45999991</v>
      </c>
    </row>
    <row r="239" spans="2:4" x14ac:dyDescent="0.3">
      <c r="B239" s="12">
        <v>43124</v>
      </c>
      <c r="C239" s="13">
        <f t="shared" si="3"/>
        <v>1</v>
      </c>
      <c r="D239" s="7">
        <v>43333325</v>
      </c>
    </row>
    <row r="240" spans="2:4" x14ac:dyDescent="0.3">
      <c r="B240" s="12">
        <v>43123</v>
      </c>
      <c r="C240" s="13">
        <f t="shared" si="3"/>
        <v>1</v>
      </c>
      <c r="D240" s="7">
        <v>41999992</v>
      </c>
    </row>
    <row r="241" spans="2:4" x14ac:dyDescent="0.3">
      <c r="B241" s="12">
        <v>43122</v>
      </c>
      <c r="C241" s="13">
        <f t="shared" si="3"/>
        <v>3</v>
      </c>
      <c r="D241" s="7">
        <v>39333326</v>
      </c>
    </row>
    <row r="242" spans="2:4" x14ac:dyDescent="0.3">
      <c r="B242" s="12">
        <v>43119</v>
      </c>
      <c r="C242" s="13">
        <f t="shared" si="3"/>
        <v>1</v>
      </c>
      <c r="D242" s="7">
        <v>37999993</v>
      </c>
    </row>
    <row r="243" spans="2:4" x14ac:dyDescent="0.3">
      <c r="B243" s="12">
        <v>43118</v>
      </c>
      <c r="C243" s="13">
        <f t="shared" si="3"/>
        <v>1</v>
      </c>
      <c r="D243" s="7">
        <v>35333327</v>
      </c>
    </row>
    <row r="244" spans="2:4" x14ac:dyDescent="0.3">
      <c r="B244" s="12">
        <v>43117</v>
      </c>
      <c r="C244" s="13">
        <f t="shared" si="3"/>
        <v>1</v>
      </c>
      <c r="D244" s="7">
        <v>32666661</v>
      </c>
    </row>
    <row r="245" spans="2:4" x14ac:dyDescent="0.3">
      <c r="B245" s="12">
        <v>43116</v>
      </c>
      <c r="C245" s="13">
        <f t="shared" si="3"/>
        <v>1</v>
      </c>
      <c r="D245" s="7">
        <v>31333328</v>
      </c>
    </row>
    <row r="246" spans="2:4" x14ac:dyDescent="0.3">
      <c r="B246" s="12">
        <v>43115</v>
      </c>
      <c r="C246" s="13">
        <f t="shared" si="3"/>
        <v>3</v>
      </c>
      <c r="D246" s="7">
        <v>28666662</v>
      </c>
    </row>
    <row r="247" spans="2:4" x14ac:dyDescent="0.3">
      <c r="B247" s="12">
        <v>43112</v>
      </c>
      <c r="C247" s="13">
        <f t="shared" si="3"/>
        <v>1</v>
      </c>
      <c r="D247" s="7">
        <v>27333329</v>
      </c>
    </row>
    <row r="248" spans="2:4" x14ac:dyDescent="0.3">
      <c r="B248" s="12">
        <v>43111</v>
      </c>
      <c r="C248" s="13">
        <f t="shared" si="3"/>
        <v>1</v>
      </c>
      <c r="D248" s="7">
        <v>24666663</v>
      </c>
    </row>
    <row r="249" spans="2:4" x14ac:dyDescent="0.3">
      <c r="B249" s="12">
        <v>43110</v>
      </c>
      <c r="C249" s="13">
        <f t="shared" si="3"/>
        <v>1</v>
      </c>
      <c r="D249" s="7">
        <v>21999997</v>
      </c>
    </row>
    <row r="250" spans="2:4" x14ac:dyDescent="0.3">
      <c r="B250" s="12">
        <v>43109</v>
      </c>
      <c r="C250" s="13">
        <f t="shared" si="3"/>
        <v>1</v>
      </c>
      <c r="D250" s="7">
        <v>20666664</v>
      </c>
    </row>
    <row r="251" spans="2:4" x14ac:dyDescent="0.3">
      <c r="B251" s="12">
        <v>43108</v>
      </c>
      <c r="C251" s="13">
        <f t="shared" si="3"/>
        <v>3</v>
      </c>
      <c r="D251" s="7">
        <v>17999998</v>
      </c>
    </row>
    <row r="252" spans="2:4" x14ac:dyDescent="0.3">
      <c r="B252" s="12">
        <v>43105</v>
      </c>
      <c r="C252" s="13">
        <f t="shared" si="3"/>
        <v>1</v>
      </c>
      <c r="D252" s="7">
        <v>16666665</v>
      </c>
    </row>
    <row r="253" spans="2:4" x14ac:dyDescent="0.3">
      <c r="B253" s="12">
        <v>43104</v>
      </c>
      <c r="C253" s="13">
        <f t="shared" si="3"/>
        <v>1</v>
      </c>
      <c r="D253" s="7">
        <v>13999999</v>
      </c>
    </row>
    <row r="254" spans="2:4" x14ac:dyDescent="0.3">
      <c r="B254" s="12">
        <v>43103</v>
      </c>
      <c r="C254" s="13">
        <f t="shared" si="3"/>
        <v>1</v>
      </c>
      <c r="D254" s="7">
        <v>11333333</v>
      </c>
    </row>
    <row r="255" spans="2:4" x14ac:dyDescent="0.3">
      <c r="B255" s="15">
        <v>43102</v>
      </c>
      <c r="C255" s="16">
        <v>2</v>
      </c>
      <c r="D255" s="9">
        <v>10000000</v>
      </c>
    </row>
  </sheetData>
  <mergeCells count="3">
    <mergeCell ref="B2:D2"/>
    <mergeCell ref="F2:G2"/>
    <mergeCell ref="I2:J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69002-D854-4DED-80D4-173D5392B4F7}">
  <sheetPr codeName="Tabelle7"/>
  <dimension ref="A1:U255"/>
  <sheetViews>
    <sheetView showGridLines="0" workbookViewId="0">
      <selection activeCell="L4" sqref="L4"/>
    </sheetView>
  </sheetViews>
  <sheetFormatPr defaultColWidth="17.109375" defaultRowHeight="14.4" x14ac:dyDescent="0.3"/>
  <cols>
    <col min="1" max="1" width="2.88671875" customWidth="1"/>
    <col min="2" max="2" width="17.109375" style="11" customWidth="1"/>
    <col min="3" max="3" width="17.109375" style="17" customWidth="1"/>
    <col min="4" max="4" width="17.109375" style="18" customWidth="1"/>
    <col min="5" max="5" width="8.5546875" customWidth="1"/>
    <col min="6" max="7" width="17.109375" customWidth="1"/>
    <col min="8" max="8" width="8.5546875" customWidth="1"/>
    <col min="9" max="10" width="17.109375" customWidth="1"/>
    <col min="11" max="11" width="8.5546875" customWidth="1"/>
  </cols>
  <sheetData>
    <row r="1" spans="1:21" x14ac:dyDescent="0.3">
      <c r="B1"/>
      <c r="C1"/>
      <c r="D1"/>
    </row>
    <row r="2" spans="1:21" x14ac:dyDescent="0.3">
      <c r="B2" s="19" t="s">
        <v>0</v>
      </c>
      <c r="C2" s="21"/>
      <c r="D2" s="20"/>
      <c r="F2" s="19" t="s">
        <v>14</v>
      </c>
      <c r="G2" s="20"/>
      <c r="I2" s="19" t="s">
        <v>15</v>
      </c>
      <c r="J2" s="20"/>
      <c r="L2" s="19" t="s">
        <v>2</v>
      </c>
      <c r="M2" s="20"/>
    </row>
    <row r="3" spans="1:21" x14ac:dyDescent="0.3">
      <c r="B3"/>
      <c r="C3"/>
      <c r="D3"/>
    </row>
    <row r="4" spans="1:21" s="6" customFormat="1" x14ac:dyDescent="0.3">
      <c r="A4"/>
      <c r="B4" s="1" t="s">
        <v>9</v>
      </c>
      <c r="C4" s="1" t="s">
        <v>10</v>
      </c>
      <c r="D4" s="1" t="s">
        <v>11</v>
      </c>
      <c r="E4"/>
      <c r="F4" s="1" t="s">
        <v>12</v>
      </c>
      <c r="G4" s="1" t="s">
        <v>13</v>
      </c>
      <c r="I4" s="1" t="s">
        <v>12</v>
      </c>
      <c r="J4" s="1" t="s">
        <v>13</v>
      </c>
      <c r="L4" s="4">
        <f>SUMPRODUCT((RangeDates&gt;=DateStart1)*(RangeDates&lt;=DateEnd1)*RangeDays/365*TIEREDRATEFEE(Volumes,MinimumFee1,Thresholds1,Rates1))
+SUMPRODUCT((RangeDates&gt;=DateStart2)*(RangeDates&lt;=DateEnd2)*RangeDays/365*TIEREDRATEFEE(Volumes,MinimumFee2,Thresholds2,Rates2))</f>
        <v>156193.94392000002</v>
      </c>
      <c r="M4" s="5" t="s">
        <v>5</v>
      </c>
      <c r="N4"/>
      <c r="O4"/>
      <c r="P4"/>
      <c r="Q4"/>
      <c r="R4"/>
      <c r="S4"/>
      <c r="T4"/>
      <c r="U4"/>
    </row>
    <row r="5" spans="1:21" ht="15" customHeight="1" x14ac:dyDescent="0.3">
      <c r="B5" s="12">
        <v>43465</v>
      </c>
      <c r="C5" s="13">
        <f>B5-B6</f>
        <v>3</v>
      </c>
      <c r="D5" s="7">
        <v>543333200</v>
      </c>
      <c r="F5" s="14">
        <v>43102</v>
      </c>
      <c r="G5" s="14">
        <v>43280</v>
      </c>
      <c r="I5" s="14">
        <v>43283</v>
      </c>
      <c r="J5" s="14">
        <v>43465</v>
      </c>
    </row>
    <row r="6" spans="1:21" ht="15" customHeight="1" x14ac:dyDescent="0.3">
      <c r="B6" s="12">
        <v>43462</v>
      </c>
      <c r="C6" s="13">
        <f t="shared" ref="C6:C69" si="0">B6-B7</f>
        <v>1</v>
      </c>
      <c r="D6" s="7">
        <v>540666534</v>
      </c>
      <c r="L6" s="4">
        <f>SUMPRODUCT((RangeDates&gt;=DateStart1)*(RangeDates&lt;=DateEnd1)*RangeDays/365*TIEREDRATEFEE(Volumes,20000,{0;100000000;250000000;500000000;1000000000},{0.0008;0.0006;0.0004;0.0002;0.0001}))
+SUMPRODUCT((RangeDates&gt;=DateStart2)*(RangeDates&lt;=DateEnd2)*RangeDays/365*TIEREDRATEFEE(Volumes,10000,{0;50000000;150000000;250000000;500000000},{0.0007;0.0006;0.0005;0.0004;0.0003}))</f>
        <v>156193.94392000002</v>
      </c>
      <c r="M6" s="5" t="s">
        <v>8</v>
      </c>
    </row>
    <row r="7" spans="1:21" ht="15" customHeight="1" x14ac:dyDescent="0.3">
      <c r="B7" s="12">
        <v>43461</v>
      </c>
      <c r="C7" s="13">
        <f t="shared" si="0"/>
        <v>3</v>
      </c>
      <c r="D7" s="7">
        <v>539333201</v>
      </c>
      <c r="F7" s="1" t="s">
        <v>4</v>
      </c>
      <c r="G7" s="3">
        <v>20000</v>
      </c>
      <c r="I7" s="1" t="s">
        <v>4</v>
      </c>
      <c r="J7" s="3">
        <v>10000</v>
      </c>
    </row>
    <row r="8" spans="1:21" ht="15" customHeight="1" x14ac:dyDescent="0.3">
      <c r="B8" s="12">
        <v>43458</v>
      </c>
      <c r="C8" s="13">
        <f t="shared" si="0"/>
        <v>3</v>
      </c>
      <c r="D8" s="7">
        <v>536666535</v>
      </c>
    </row>
    <row r="9" spans="1:21" ht="15" customHeight="1" x14ac:dyDescent="0.3">
      <c r="B9" s="12">
        <v>43455</v>
      </c>
      <c r="C9" s="13">
        <f t="shared" si="0"/>
        <v>1</v>
      </c>
      <c r="D9" s="7">
        <v>533999869</v>
      </c>
      <c r="F9" s="1" t="s">
        <v>6</v>
      </c>
      <c r="G9" s="1" t="s">
        <v>7</v>
      </c>
      <c r="I9" s="1" t="s">
        <v>6</v>
      </c>
      <c r="J9" s="1" t="s">
        <v>7</v>
      </c>
    </row>
    <row r="10" spans="1:21" ht="15" customHeight="1" x14ac:dyDescent="0.3">
      <c r="B10" s="12">
        <v>43454</v>
      </c>
      <c r="C10" s="13">
        <f t="shared" si="0"/>
        <v>1</v>
      </c>
      <c r="D10" s="7">
        <v>532666536</v>
      </c>
      <c r="F10" s="7">
        <v>0</v>
      </c>
      <c r="G10" s="8">
        <v>8.0000000000000004E-4</v>
      </c>
      <c r="I10" s="7">
        <v>0</v>
      </c>
      <c r="J10" s="8">
        <v>6.9999999999999999E-4</v>
      </c>
    </row>
    <row r="11" spans="1:21" ht="15" customHeight="1" x14ac:dyDescent="0.3">
      <c r="B11" s="12">
        <v>43453</v>
      </c>
      <c r="C11" s="13">
        <f t="shared" si="0"/>
        <v>1</v>
      </c>
      <c r="D11" s="7">
        <v>529999870</v>
      </c>
      <c r="F11" s="7">
        <v>100000000</v>
      </c>
      <c r="G11" s="8">
        <v>5.9999999999999995E-4</v>
      </c>
      <c r="I11" s="7">
        <v>50000000</v>
      </c>
      <c r="J11" s="8">
        <v>5.9999999999999995E-4</v>
      </c>
    </row>
    <row r="12" spans="1:21" ht="15" customHeight="1" x14ac:dyDescent="0.3">
      <c r="B12" s="12">
        <v>43452</v>
      </c>
      <c r="C12" s="13">
        <f t="shared" si="0"/>
        <v>1</v>
      </c>
      <c r="D12" s="7">
        <v>528666537</v>
      </c>
      <c r="F12" s="7">
        <v>250000000</v>
      </c>
      <c r="G12" s="8">
        <v>4.0000000000000002E-4</v>
      </c>
      <c r="I12" s="7">
        <v>150000000</v>
      </c>
      <c r="J12" s="8">
        <v>5.0000000000000001E-4</v>
      </c>
    </row>
    <row r="13" spans="1:21" ht="15" customHeight="1" x14ac:dyDescent="0.3">
      <c r="B13" s="12">
        <v>43451</v>
      </c>
      <c r="C13" s="13">
        <f t="shared" si="0"/>
        <v>3</v>
      </c>
      <c r="D13" s="7">
        <v>525999871</v>
      </c>
      <c r="F13" s="7">
        <v>500000000</v>
      </c>
      <c r="G13" s="8">
        <v>2.0000000000000001E-4</v>
      </c>
      <c r="I13" s="7">
        <v>250000000</v>
      </c>
      <c r="J13" s="8">
        <v>4.0000000000000002E-4</v>
      </c>
    </row>
    <row r="14" spans="1:21" x14ac:dyDescent="0.3">
      <c r="B14" s="12">
        <v>43448</v>
      </c>
      <c r="C14" s="13">
        <f t="shared" si="0"/>
        <v>1</v>
      </c>
      <c r="D14" s="7">
        <v>523333205</v>
      </c>
      <c r="F14" s="9">
        <v>1000000000</v>
      </c>
      <c r="G14" s="10">
        <v>1E-4</v>
      </c>
      <c r="I14" s="9">
        <v>500000000</v>
      </c>
      <c r="J14" s="10">
        <v>2.9999999999999997E-4</v>
      </c>
    </row>
    <row r="15" spans="1:21" x14ac:dyDescent="0.3">
      <c r="B15" s="12">
        <v>43447</v>
      </c>
      <c r="C15" s="13">
        <f t="shared" si="0"/>
        <v>1</v>
      </c>
      <c r="D15" s="7">
        <v>521999872</v>
      </c>
    </row>
    <row r="16" spans="1:21" x14ac:dyDescent="0.3">
      <c r="B16" s="12">
        <v>43446</v>
      </c>
      <c r="C16" s="13">
        <f t="shared" si="0"/>
        <v>1</v>
      </c>
      <c r="D16" s="7">
        <v>519333206</v>
      </c>
    </row>
    <row r="17" spans="2:4" x14ac:dyDescent="0.3">
      <c r="B17" s="12">
        <v>43445</v>
      </c>
      <c r="C17" s="13">
        <f t="shared" si="0"/>
        <v>1</v>
      </c>
      <c r="D17" s="7">
        <v>517999873</v>
      </c>
    </row>
    <row r="18" spans="2:4" x14ac:dyDescent="0.3">
      <c r="B18" s="12">
        <v>43444</v>
      </c>
      <c r="C18" s="13">
        <f t="shared" si="0"/>
        <v>3</v>
      </c>
      <c r="D18" s="7">
        <v>515333207</v>
      </c>
    </row>
    <row r="19" spans="2:4" x14ac:dyDescent="0.3">
      <c r="B19" s="12">
        <v>43441</v>
      </c>
      <c r="C19" s="13">
        <f t="shared" si="0"/>
        <v>1</v>
      </c>
      <c r="D19" s="7">
        <v>512666541</v>
      </c>
    </row>
    <row r="20" spans="2:4" x14ac:dyDescent="0.3">
      <c r="B20" s="12">
        <v>43440</v>
      </c>
      <c r="C20" s="13">
        <f t="shared" si="0"/>
        <v>1</v>
      </c>
      <c r="D20" s="7">
        <v>511333208</v>
      </c>
    </row>
    <row r="21" spans="2:4" x14ac:dyDescent="0.3">
      <c r="B21" s="12">
        <v>43439</v>
      </c>
      <c r="C21" s="13">
        <f t="shared" si="0"/>
        <v>1</v>
      </c>
      <c r="D21" s="7">
        <v>508666542</v>
      </c>
    </row>
    <row r="22" spans="2:4" x14ac:dyDescent="0.3">
      <c r="B22" s="12">
        <v>43438</v>
      </c>
      <c r="C22" s="13">
        <f t="shared" si="0"/>
        <v>1</v>
      </c>
      <c r="D22" s="7">
        <v>507333209</v>
      </c>
    </row>
    <row r="23" spans="2:4" x14ac:dyDescent="0.3">
      <c r="B23" s="12">
        <v>43437</v>
      </c>
      <c r="C23" s="13">
        <f t="shared" si="0"/>
        <v>3</v>
      </c>
      <c r="D23" s="7">
        <v>504666543</v>
      </c>
    </row>
    <row r="24" spans="2:4" x14ac:dyDescent="0.3">
      <c r="B24" s="12">
        <v>43434</v>
      </c>
      <c r="C24" s="13">
        <f t="shared" si="0"/>
        <v>1</v>
      </c>
      <c r="D24" s="7">
        <v>501999877</v>
      </c>
    </row>
    <row r="25" spans="2:4" x14ac:dyDescent="0.3">
      <c r="B25" s="12">
        <v>43433</v>
      </c>
      <c r="C25" s="13">
        <f t="shared" si="0"/>
        <v>1</v>
      </c>
      <c r="D25" s="7">
        <v>500666544</v>
      </c>
    </row>
    <row r="26" spans="2:4" x14ac:dyDescent="0.3">
      <c r="B26" s="12">
        <v>43432</v>
      </c>
      <c r="C26" s="13">
        <f t="shared" si="0"/>
        <v>1</v>
      </c>
      <c r="D26" s="7">
        <v>497999878</v>
      </c>
    </row>
    <row r="27" spans="2:4" x14ac:dyDescent="0.3">
      <c r="B27" s="12">
        <v>43431</v>
      </c>
      <c r="C27" s="13">
        <f t="shared" si="0"/>
        <v>1</v>
      </c>
      <c r="D27" s="7">
        <v>496666545</v>
      </c>
    </row>
    <row r="28" spans="2:4" x14ac:dyDescent="0.3">
      <c r="B28" s="12">
        <v>43430</v>
      </c>
      <c r="C28" s="13">
        <f t="shared" si="0"/>
        <v>3</v>
      </c>
      <c r="D28" s="7">
        <v>493999879</v>
      </c>
    </row>
    <row r="29" spans="2:4" x14ac:dyDescent="0.3">
      <c r="B29" s="12">
        <v>43427</v>
      </c>
      <c r="C29" s="13">
        <f t="shared" si="0"/>
        <v>1</v>
      </c>
      <c r="D29" s="7">
        <v>491333213</v>
      </c>
    </row>
    <row r="30" spans="2:4" x14ac:dyDescent="0.3">
      <c r="B30" s="12">
        <v>43426</v>
      </c>
      <c r="C30" s="13">
        <f t="shared" si="0"/>
        <v>1</v>
      </c>
      <c r="D30" s="7">
        <v>489999880</v>
      </c>
    </row>
    <row r="31" spans="2:4" x14ac:dyDescent="0.3">
      <c r="B31" s="12">
        <v>43425</v>
      </c>
      <c r="C31" s="13">
        <f t="shared" si="0"/>
        <v>1</v>
      </c>
      <c r="D31" s="7">
        <v>487333214</v>
      </c>
    </row>
    <row r="32" spans="2:4" x14ac:dyDescent="0.3">
      <c r="B32" s="12">
        <v>43424</v>
      </c>
      <c r="C32" s="13">
        <f t="shared" si="0"/>
        <v>1</v>
      </c>
      <c r="D32" s="7">
        <v>485999881</v>
      </c>
    </row>
    <row r="33" spans="2:4" x14ac:dyDescent="0.3">
      <c r="B33" s="12">
        <v>43423</v>
      </c>
      <c r="C33" s="13">
        <f t="shared" si="0"/>
        <v>3</v>
      </c>
      <c r="D33" s="7">
        <v>483333215</v>
      </c>
    </row>
    <row r="34" spans="2:4" x14ac:dyDescent="0.3">
      <c r="B34" s="12">
        <v>43420</v>
      </c>
      <c r="C34" s="13">
        <f t="shared" si="0"/>
        <v>1</v>
      </c>
      <c r="D34" s="7">
        <v>480666549</v>
      </c>
    </row>
    <row r="35" spans="2:4" x14ac:dyDescent="0.3">
      <c r="B35" s="12">
        <v>43419</v>
      </c>
      <c r="C35" s="13">
        <f t="shared" si="0"/>
        <v>1</v>
      </c>
      <c r="D35" s="7">
        <v>479333216</v>
      </c>
    </row>
    <row r="36" spans="2:4" x14ac:dyDescent="0.3">
      <c r="B36" s="12">
        <v>43418</v>
      </c>
      <c r="C36" s="13">
        <f t="shared" si="0"/>
        <v>1</v>
      </c>
      <c r="D36" s="7">
        <v>476666550</v>
      </c>
    </row>
    <row r="37" spans="2:4" x14ac:dyDescent="0.3">
      <c r="B37" s="12">
        <v>43417</v>
      </c>
      <c r="C37" s="13">
        <f t="shared" si="0"/>
        <v>1</v>
      </c>
      <c r="D37" s="7">
        <v>475333217</v>
      </c>
    </row>
    <row r="38" spans="2:4" x14ac:dyDescent="0.3">
      <c r="B38" s="12">
        <v>43416</v>
      </c>
      <c r="C38" s="13">
        <f t="shared" si="0"/>
        <v>3</v>
      </c>
      <c r="D38" s="7">
        <v>472666551</v>
      </c>
    </row>
    <row r="39" spans="2:4" x14ac:dyDescent="0.3">
      <c r="B39" s="12">
        <v>43413</v>
      </c>
      <c r="C39" s="13">
        <f t="shared" si="0"/>
        <v>1</v>
      </c>
      <c r="D39" s="7">
        <v>469999885</v>
      </c>
    </row>
    <row r="40" spans="2:4" x14ac:dyDescent="0.3">
      <c r="B40" s="12">
        <v>43412</v>
      </c>
      <c r="C40" s="13">
        <f t="shared" si="0"/>
        <v>1</v>
      </c>
      <c r="D40" s="7">
        <v>468666552</v>
      </c>
    </row>
    <row r="41" spans="2:4" x14ac:dyDescent="0.3">
      <c r="B41" s="12">
        <v>43411</v>
      </c>
      <c r="C41" s="13">
        <f t="shared" si="0"/>
        <v>1</v>
      </c>
      <c r="D41" s="7">
        <v>465999886</v>
      </c>
    </row>
    <row r="42" spans="2:4" x14ac:dyDescent="0.3">
      <c r="B42" s="12">
        <v>43410</v>
      </c>
      <c r="C42" s="13">
        <f t="shared" si="0"/>
        <v>1</v>
      </c>
      <c r="D42" s="7">
        <v>464666553</v>
      </c>
    </row>
    <row r="43" spans="2:4" x14ac:dyDescent="0.3">
      <c r="B43" s="12">
        <v>43409</v>
      </c>
      <c r="C43" s="13">
        <f t="shared" si="0"/>
        <v>3</v>
      </c>
      <c r="D43" s="7">
        <v>461999887</v>
      </c>
    </row>
    <row r="44" spans="2:4" x14ac:dyDescent="0.3">
      <c r="B44" s="12">
        <v>43406</v>
      </c>
      <c r="C44" s="13">
        <f t="shared" si="0"/>
        <v>2</v>
      </c>
      <c r="D44" s="7">
        <v>459333221</v>
      </c>
    </row>
    <row r="45" spans="2:4" x14ac:dyDescent="0.3">
      <c r="B45" s="12">
        <v>43404</v>
      </c>
      <c r="C45" s="13">
        <f t="shared" si="0"/>
        <v>1</v>
      </c>
      <c r="D45" s="7">
        <v>457999888</v>
      </c>
    </row>
    <row r="46" spans="2:4" x14ac:dyDescent="0.3">
      <c r="B46" s="12">
        <v>43403</v>
      </c>
      <c r="C46" s="13">
        <f t="shared" si="0"/>
        <v>1</v>
      </c>
      <c r="D46" s="7">
        <v>455333222</v>
      </c>
    </row>
    <row r="47" spans="2:4" x14ac:dyDescent="0.3">
      <c r="B47" s="12">
        <v>43402</v>
      </c>
      <c r="C47" s="13">
        <f t="shared" si="0"/>
        <v>3</v>
      </c>
      <c r="D47" s="7">
        <v>453999889</v>
      </c>
    </row>
    <row r="48" spans="2:4" x14ac:dyDescent="0.3">
      <c r="B48" s="12">
        <v>43399</v>
      </c>
      <c r="C48" s="13">
        <f t="shared" si="0"/>
        <v>1</v>
      </c>
      <c r="D48" s="7">
        <v>451333223</v>
      </c>
    </row>
    <row r="49" spans="2:4" x14ac:dyDescent="0.3">
      <c r="B49" s="12">
        <v>43398</v>
      </c>
      <c r="C49" s="13">
        <f t="shared" si="0"/>
        <v>1</v>
      </c>
      <c r="D49" s="7">
        <v>448666557</v>
      </c>
    </row>
    <row r="50" spans="2:4" x14ac:dyDescent="0.3">
      <c r="B50" s="12">
        <v>43397</v>
      </c>
      <c r="C50" s="13">
        <f t="shared" si="0"/>
        <v>1</v>
      </c>
      <c r="D50" s="7">
        <v>447333224</v>
      </c>
    </row>
    <row r="51" spans="2:4" x14ac:dyDescent="0.3">
      <c r="B51" s="12">
        <v>43396</v>
      </c>
      <c r="C51" s="13">
        <f t="shared" si="0"/>
        <v>1</v>
      </c>
      <c r="D51" s="7">
        <v>444666558</v>
      </c>
    </row>
    <row r="52" spans="2:4" x14ac:dyDescent="0.3">
      <c r="B52" s="12">
        <v>43395</v>
      </c>
      <c r="C52" s="13">
        <f t="shared" si="0"/>
        <v>3</v>
      </c>
      <c r="D52" s="7">
        <v>443333225</v>
      </c>
    </row>
    <row r="53" spans="2:4" x14ac:dyDescent="0.3">
      <c r="B53" s="12">
        <v>43392</v>
      </c>
      <c r="C53" s="13">
        <f t="shared" si="0"/>
        <v>1</v>
      </c>
      <c r="D53" s="7">
        <v>440666559</v>
      </c>
    </row>
    <row r="54" spans="2:4" x14ac:dyDescent="0.3">
      <c r="B54" s="12">
        <v>43391</v>
      </c>
      <c r="C54" s="13">
        <f t="shared" si="0"/>
        <v>1</v>
      </c>
      <c r="D54" s="7">
        <v>437999893</v>
      </c>
    </row>
    <row r="55" spans="2:4" x14ac:dyDescent="0.3">
      <c r="B55" s="12">
        <v>43390</v>
      </c>
      <c r="C55" s="13">
        <f t="shared" si="0"/>
        <v>1</v>
      </c>
      <c r="D55" s="7">
        <v>436666560</v>
      </c>
    </row>
    <row r="56" spans="2:4" x14ac:dyDescent="0.3">
      <c r="B56" s="12">
        <v>43389</v>
      </c>
      <c r="C56" s="13">
        <f t="shared" si="0"/>
        <v>1</v>
      </c>
      <c r="D56" s="7">
        <v>433999894</v>
      </c>
    </row>
    <row r="57" spans="2:4" x14ac:dyDescent="0.3">
      <c r="B57" s="12">
        <v>43388</v>
      </c>
      <c r="C57" s="13">
        <f t="shared" si="0"/>
        <v>3</v>
      </c>
      <c r="D57" s="7">
        <v>432666561</v>
      </c>
    </row>
    <row r="58" spans="2:4" x14ac:dyDescent="0.3">
      <c r="B58" s="12">
        <v>43385</v>
      </c>
      <c r="C58" s="13">
        <f t="shared" si="0"/>
        <v>1</v>
      </c>
      <c r="D58" s="7">
        <v>429999895</v>
      </c>
    </row>
    <row r="59" spans="2:4" x14ac:dyDescent="0.3">
      <c r="B59" s="12">
        <v>43384</v>
      </c>
      <c r="C59" s="13">
        <f t="shared" si="0"/>
        <v>1</v>
      </c>
      <c r="D59" s="7">
        <v>427333229</v>
      </c>
    </row>
    <row r="60" spans="2:4" x14ac:dyDescent="0.3">
      <c r="B60" s="12">
        <v>43383</v>
      </c>
      <c r="C60" s="13">
        <f t="shared" si="0"/>
        <v>1</v>
      </c>
      <c r="D60" s="7">
        <v>425999896</v>
      </c>
    </row>
    <row r="61" spans="2:4" x14ac:dyDescent="0.3">
      <c r="B61" s="12">
        <v>43382</v>
      </c>
      <c r="C61" s="13">
        <f t="shared" si="0"/>
        <v>1</v>
      </c>
      <c r="D61" s="7">
        <v>423333230</v>
      </c>
    </row>
    <row r="62" spans="2:4" x14ac:dyDescent="0.3">
      <c r="B62" s="12">
        <v>43381</v>
      </c>
      <c r="C62" s="13">
        <f t="shared" si="0"/>
        <v>3</v>
      </c>
      <c r="D62" s="7">
        <v>421999897</v>
      </c>
    </row>
    <row r="63" spans="2:4" x14ac:dyDescent="0.3">
      <c r="B63" s="12">
        <v>43378</v>
      </c>
      <c r="C63" s="13">
        <f t="shared" si="0"/>
        <v>1</v>
      </c>
      <c r="D63" s="7">
        <v>419333231</v>
      </c>
    </row>
    <row r="64" spans="2:4" x14ac:dyDescent="0.3">
      <c r="B64" s="12">
        <v>43377</v>
      </c>
      <c r="C64" s="13">
        <f t="shared" si="0"/>
        <v>1</v>
      </c>
      <c r="D64" s="7">
        <v>416666565</v>
      </c>
    </row>
    <row r="65" spans="2:4" x14ac:dyDescent="0.3">
      <c r="B65" s="12">
        <v>43376</v>
      </c>
      <c r="C65" s="13">
        <f t="shared" si="0"/>
        <v>1</v>
      </c>
      <c r="D65" s="7">
        <v>415333232</v>
      </c>
    </row>
    <row r="66" spans="2:4" x14ac:dyDescent="0.3">
      <c r="B66" s="12">
        <v>43375</v>
      </c>
      <c r="C66" s="13">
        <f t="shared" si="0"/>
        <v>1</v>
      </c>
      <c r="D66" s="7">
        <v>412666566</v>
      </c>
    </row>
    <row r="67" spans="2:4" x14ac:dyDescent="0.3">
      <c r="B67" s="12">
        <v>43374</v>
      </c>
      <c r="C67" s="13">
        <f t="shared" si="0"/>
        <v>3</v>
      </c>
      <c r="D67" s="7">
        <v>411333233</v>
      </c>
    </row>
    <row r="68" spans="2:4" x14ac:dyDescent="0.3">
      <c r="B68" s="12">
        <v>43371</v>
      </c>
      <c r="C68" s="13">
        <f t="shared" si="0"/>
        <v>1</v>
      </c>
      <c r="D68" s="7">
        <v>408666567</v>
      </c>
    </row>
    <row r="69" spans="2:4" x14ac:dyDescent="0.3">
      <c r="B69" s="12">
        <v>43370</v>
      </c>
      <c r="C69" s="13">
        <f t="shared" si="0"/>
        <v>1</v>
      </c>
      <c r="D69" s="7">
        <v>405999901</v>
      </c>
    </row>
    <row r="70" spans="2:4" x14ac:dyDescent="0.3">
      <c r="B70" s="12">
        <v>43369</v>
      </c>
      <c r="C70" s="13">
        <f t="shared" ref="C70:C133" si="1">B70-B71</f>
        <v>1</v>
      </c>
      <c r="D70" s="7">
        <v>404666568</v>
      </c>
    </row>
    <row r="71" spans="2:4" x14ac:dyDescent="0.3">
      <c r="B71" s="12">
        <v>43368</v>
      </c>
      <c r="C71" s="13">
        <f t="shared" si="1"/>
        <v>1</v>
      </c>
      <c r="D71" s="7">
        <v>401999902</v>
      </c>
    </row>
    <row r="72" spans="2:4" x14ac:dyDescent="0.3">
      <c r="B72" s="12">
        <v>43367</v>
      </c>
      <c r="C72" s="13">
        <f t="shared" si="1"/>
        <v>3</v>
      </c>
      <c r="D72" s="7">
        <v>400666569</v>
      </c>
    </row>
    <row r="73" spans="2:4" x14ac:dyDescent="0.3">
      <c r="B73" s="12">
        <v>43364</v>
      </c>
      <c r="C73" s="13">
        <f t="shared" si="1"/>
        <v>1</v>
      </c>
      <c r="D73" s="7">
        <v>397999903</v>
      </c>
    </row>
    <row r="74" spans="2:4" x14ac:dyDescent="0.3">
      <c r="B74" s="12">
        <v>43363</v>
      </c>
      <c r="C74" s="13">
        <f t="shared" si="1"/>
        <v>1</v>
      </c>
      <c r="D74" s="7">
        <v>395333237</v>
      </c>
    </row>
    <row r="75" spans="2:4" x14ac:dyDescent="0.3">
      <c r="B75" s="12">
        <v>43362</v>
      </c>
      <c r="C75" s="13">
        <f t="shared" si="1"/>
        <v>1</v>
      </c>
      <c r="D75" s="7">
        <v>393999904</v>
      </c>
    </row>
    <row r="76" spans="2:4" x14ac:dyDescent="0.3">
      <c r="B76" s="12">
        <v>43361</v>
      </c>
      <c r="C76" s="13">
        <f t="shared" si="1"/>
        <v>1</v>
      </c>
      <c r="D76" s="7">
        <v>391333238</v>
      </c>
    </row>
    <row r="77" spans="2:4" x14ac:dyDescent="0.3">
      <c r="B77" s="12">
        <v>43360</v>
      </c>
      <c r="C77" s="13">
        <f t="shared" si="1"/>
        <v>3</v>
      </c>
      <c r="D77" s="7">
        <v>389999905</v>
      </c>
    </row>
    <row r="78" spans="2:4" x14ac:dyDescent="0.3">
      <c r="B78" s="12">
        <v>43357</v>
      </c>
      <c r="C78" s="13">
        <f t="shared" si="1"/>
        <v>1</v>
      </c>
      <c r="D78" s="7">
        <v>387333239</v>
      </c>
    </row>
    <row r="79" spans="2:4" x14ac:dyDescent="0.3">
      <c r="B79" s="12">
        <v>43356</v>
      </c>
      <c r="C79" s="13">
        <f t="shared" si="1"/>
        <v>1</v>
      </c>
      <c r="D79" s="7">
        <v>384666573</v>
      </c>
    </row>
    <row r="80" spans="2:4" x14ac:dyDescent="0.3">
      <c r="B80" s="12">
        <v>43355</v>
      </c>
      <c r="C80" s="13">
        <f t="shared" si="1"/>
        <v>1</v>
      </c>
      <c r="D80" s="7">
        <v>383333240</v>
      </c>
    </row>
    <row r="81" spans="2:4" x14ac:dyDescent="0.3">
      <c r="B81" s="12">
        <v>43354</v>
      </c>
      <c r="C81" s="13">
        <f t="shared" si="1"/>
        <v>1</v>
      </c>
      <c r="D81" s="7">
        <v>380666574</v>
      </c>
    </row>
    <row r="82" spans="2:4" x14ac:dyDescent="0.3">
      <c r="B82" s="12">
        <v>43353</v>
      </c>
      <c r="C82" s="13">
        <f t="shared" si="1"/>
        <v>3</v>
      </c>
      <c r="D82" s="7">
        <v>379333241</v>
      </c>
    </row>
    <row r="83" spans="2:4" x14ac:dyDescent="0.3">
      <c r="B83" s="12">
        <v>43350</v>
      </c>
      <c r="C83" s="13">
        <f t="shared" si="1"/>
        <v>1</v>
      </c>
      <c r="D83" s="7">
        <v>376666575</v>
      </c>
    </row>
    <row r="84" spans="2:4" x14ac:dyDescent="0.3">
      <c r="B84" s="12">
        <v>43349</v>
      </c>
      <c r="C84" s="13">
        <f t="shared" si="1"/>
        <v>1</v>
      </c>
      <c r="D84" s="7">
        <v>373999909</v>
      </c>
    </row>
    <row r="85" spans="2:4" x14ac:dyDescent="0.3">
      <c r="B85" s="12">
        <v>43348</v>
      </c>
      <c r="C85" s="13">
        <f t="shared" si="1"/>
        <v>1</v>
      </c>
      <c r="D85" s="7">
        <v>372666576</v>
      </c>
    </row>
    <row r="86" spans="2:4" x14ac:dyDescent="0.3">
      <c r="B86" s="12">
        <v>43347</v>
      </c>
      <c r="C86" s="13">
        <f t="shared" si="1"/>
        <v>1</v>
      </c>
      <c r="D86" s="7">
        <v>369999910</v>
      </c>
    </row>
    <row r="87" spans="2:4" x14ac:dyDescent="0.3">
      <c r="B87" s="12">
        <v>43346</v>
      </c>
      <c r="C87" s="13">
        <f t="shared" si="1"/>
        <v>3</v>
      </c>
      <c r="D87" s="7">
        <v>368666577</v>
      </c>
    </row>
    <row r="88" spans="2:4" x14ac:dyDescent="0.3">
      <c r="B88" s="12">
        <v>43343</v>
      </c>
      <c r="C88" s="13">
        <f t="shared" si="1"/>
        <v>1</v>
      </c>
      <c r="D88" s="7">
        <v>365999911</v>
      </c>
    </row>
    <row r="89" spans="2:4" x14ac:dyDescent="0.3">
      <c r="B89" s="12">
        <v>43342</v>
      </c>
      <c r="C89" s="13">
        <f t="shared" si="1"/>
        <v>1</v>
      </c>
      <c r="D89" s="7">
        <v>363333245</v>
      </c>
    </row>
    <row r="90" spans="2:4" x14ac:dyDescent="0.3">
      <c r="B90" s="12">
        <v>43341</v>
      </c>
      <c r="C90" s="13">
        <f t="shared" si="1"/>
        <v>1</v>
      </c>
      <c r="D90" s="7">
        <v>361999912</v>
      </c>
    </row>
    <row r="91" spans="2:4" x14ac:dyDescent="0.3">
      <c r="B91" s="12">
        <v>43340</v>
      </c>
      <c r="C91" s="13">
        <f t="shared" si="1"/>
        <v>1</v>
      </c>
      <c r="D91" s="7">
        <v>359333246</v>
      </c>
    </row>
    <row r="92" spans="2:4" x14ac:dyDescent="0.3">
      <c r="B92" s="12">
        <v>43339</v>
      </c>
      <c r="C92" s="13">
        <f t="shared" si="1"/>
        <v>3</v>
      </c>
      <c r="D92" s="7">
        <v>357999913</v>
      </c>
    </row>
    <row r="93" spans="2:4" x14ac:dyDescent="0.3">
      <c r="B93" s="12">
        <v>43336</v>
      </c>
      <c r="C93" s="13">
        <f t="shared" si="1"/>
        <v>1</v>
      </c>
      <c r="D93" s="7">
        <v>355333247</v>
      </c>
    </row>
    <row r="94" spans="2:4" x14ac:dyDescent="0.3">
      <c r="B94" s="12">
        <v>43335</v>
      </c>
      <c r="C94" s="13">
        <f t="shared" si="1"/>
        <v>1</v>
      </c>
      <c r="D94" s="7">
        <v>352666581</v>
      </c>
    </row>
    <row r="95" spans="2:4" x14ac:dyDescent="0.3">
      <c r="B95" s="12">
        <v>43334</v>
      </c>
      <c r="C95" s="13">
        <f t="shared" si="1"/>
        <v>1</v>
      </c>
      <c r="D95" s="7">
        <v>351333248</v>
      </c>
    </row>
    <row r="96" spans="2:4" x14ac:dyDescent="0.3">
      <c r="B96" s="12">
        <v>43333</v>
      </c>
      <c r="C96" s="13">
        <f t="shared" si="1"/>
        <v>1</v>
      </c>
      <c r="D96" s="7">
        <v>348666582</v>
      </c>
    </row>
    <row r="97" spans="2:4" x14ac:dyDescent="0.3">
      <c r="B97" s="12">
        <v>43332</v>
      </c>
      <c r="C97" s="13">
        <f t="shared" si="1"/>
        <v>3</v>
      </c>
      <c r="D97" s="7">
        <v>347333249</v>
      </c>
    </row>
    <row r="98" spans="2:4" x14ac:dyDescent="0.3">
      <c r="B98" s="12">
        <v>43329</v>
      </c>
      <c r="C98" s="13">
        <f t="shared" si="1"/>
        <v>1</v>
      </c>
      <c r="D98" s="7">
        <v>344666583</v>
      </c>
    </row>
    <row r="99" spans="2:4" x14ac:dyDescent="0.3">
      <c r="B99" s="12">
        <v>43328</v>
      </c>
      <c r="C99" s="13">
        <f t="shared" si="1"/>
        <v>2</v>
      </c>
      <c r="D99" s="7">
        <v>341999917</v>
      </c>
    </row>
    <row r="100" spans="2:4" x14ac:dyDescent="0.3">
      <c r="B100" s="12">
        <v>43326</v>
      </c>
      <c r="C100" s="13">
        <f t="shared" si="1"/>
        <v>1</v>
      </c>
      <c r="D100" s="7">
        <v>340666584</v>
      </c>
    </row>
    <row r="101" spans="2:4" x14ac:dyDescent="0.3">
      <c r="B101" s="12">
        <v>43325</v>
      </c>
      <c r="C101" s="13">
        <f t="shared" si="1"/>
        <v>3</v>
      </c>
      <c r="D101" s="7">
        <v>337999918</v>
      </c>
    </row>
    <row r="102" spans="2:4" x14ac:dyDescent="0.3">
      <c r="B102" s="12">
        <v>43322</v>
      </c>
      <c r="C102" s="13">
        <f t="shared" si="1"/>
        <v>1</v>
      </c>
      <c r="D102" s="7">
        <v>336666585</v>
      </c>
    </row>
    <row r="103" spans="2:4" x14ac:dyDescent="0.3">
      <c r="B103" s="12">
        <v>43321</v>
      </c>
      <c r="C103" s="13">
        <f t="shared" si="1"/>
        <v>1</v>
      </c>
      <c r="D103" s="7">
        <v>333999919</v>
      </c>
    </row>
    <row r="104" spans="2:4" x14ac:dyDescent="0.3">
      <c r="B104" s="12">
        <v>43320</v>
      </c>
      <c r="C104" s="13">
        <f t="shared" si="1"/>
        <v>1</v>
      </c>
      <c r="D104" s="7">
        <v>331333253</v>
      </c>
    </row>
    <row r="105" spans="2:4" x14ac:dyDescent="0.3">
      <c r="B105" s="12">
        <v>43319</v>
      </c>
      <c r="C105" s="13">
        <f t="shared" si="1"/>
        <v>1</v>
      </c>
      <c r="D105" s="7">
        <v>329999920</v>
      </c>
    </row>
    <row r="106" spans="2:4" x14ac:dyDescent="0.3">
      <c r="B106" s="12">
        <v>43318</v>
      </c>
      <c r="C106" s="13">
        <f t="shared" si="1"/>
        <v>3</v>
      </c>
      <c r="D106" s="7">
        <v>327333254</v>
      </c>
    </row>
    <row r="107" spans="2:4" x14ac:dyDescent="0.3">
      <c r="B107" s="12">
        <v>43315</v>
      </c>
      <c r="C107" s="13">
        <f t="shared" si="1"/>
        <v>1</v>
      </c>
      <c r="D107" s="7">
        <v>325999921</v>
      </c>
    </row>
    <row r="108" spans="2:4" x14ac:dyDescent="0.3">
      <c r="B108" s="12">
        <v>43314</v>
      </c>
      <c r="C108" s="13">
        <f t="shared" si="1"/>
        <v>1</v>
      </c>
      <c r="D108" s="7">
        <v>323333255</v>
      </c>
    </row>
    <row r="109" spans="2:4" x14ac:dyDescent="0.3">
      <c r="B109" s="12">
        <v>43313</v>
      </c>
      <c r="C109" s="13">
        <f t="shared" si="1"/>
        <v>1</v>
      </c>
      <c r="D109" s="7">
        <v>320666589</v>
      </c>
    </row>
    <row r="110" spans="2:4" x14ac:dyDescent="0.3">
      <c r="B110" s="12">
        <v>43312</v>
      </c>
      <c r="C110" s="13">
        <f t="shared" si="1"/>
        <v>1</v>
      </c>
      <c r="D110" s="7">
        <v>319333256</v>
      </c>
    </row>
    <row r="111" spans="2:4" x14ac:dyDescent="0.3">
      <c r="B111" s="12">
        <v>43311</v>
      </c>
      <c r="C111" s="13">
        <f t="shared" si="1"/>
        <v>3</v>
      </c>
      <c r="D111" s="7">
        <v>316666590</v>
      </c>
    </row>
    <row r="112" spans="2:4" x14ac:dyDescent="0.3">
      <c r="B112" s="12">
        <v>43308</v>
      </c>
      <c r="C112" s="13">
        <f t="shared" si="1"/>
        <v>1</v>
      </c>
      <c r="D112" s="7">
        <v>315333257</v>
      </c>
    </row>
    <row r="113" spans="2:4" x14ac:dyDescent="0.3">
      <c r="B113" s="12">
        <v>43307</v>
      </c>
      <c r="C113" s="13">
        <f t="shared" si="1"/>
        <v>1</v>
      </c>
      <c r="D113" s="7">
        <v>312666591</v>
      </c>
    </row>
    <row r="114" spans="2:4" x14ac:dyDescent="0.3">
      <c r="B114" s="12">
        <v>43306</v>
      </c>
      <c r="C114" s="13">
        <f t="shared" si="1"/>
        <v>1</v>
      </c>
      <c r="D114" s="7">
        <v>309999925</v>
      </c>
    </row>
    <row r="115" spans="2:4" x14ac:dyDescent="0.3">
      <c r="B115" s="12">
        <v>43305</v>
      </c>
      <c r="C115" s="13">
        <f t="shared" si="1"/>
        <v>1</v>
      </c>
      <c r="D115" s="7">
        <v>308666592</v>
      </c>
    </row>
    <row r="116" spans="2:4" x14ac:dyDescent="0.3">
      <c r="B116" s="12">
        <v>43304</v>
      </c>
      <c r="C116" s="13">
        <f t="shared" si="1"/>
        <v>3</v>
      </c>
      <c r="D116" s="7">
        <v>305999926</v>
      </c>
    </row>
    <row r="117" spans="2:4" x14ac:dyDescent="0.3">
      <c r="B117" s="12">
        <v>43301</v>
      </c>
      <c r="C117" s="13">
        <f t="shared" si="1"/>
        <v>1</v>
      </c>
      <c r="D117" s="7">
        <v>304666593</v>
      </c>
    </row>
    <row r="118" spans="2:4" x14ac:dyDescent="0.3">
      <c r="B118" s="12">
        <v>43300</v>
      </c>
      <c r="C118" s="13">
        <f t="shared" si="1"/>
        <v>1</v>
      </c>
      <c r="D118" s="7">
        <v>301999927</v>
      </c>
    </row>
    <row r="119" spans="2:4" x14ac:dyDescent="0.3">
      <c r="B119" s="12">
        <v>43299</v>
      </c>
      <c r="C119" s="13">
        <f t="shared" si="1"/>
        <v>1</v>
      </c>
      <c r="D119" s="7">
        <v>299333261</v>
      </c>
    </row>
    <row r="120" spans="2:4" x14ac:dyDescent="0.3">
      <c r="B120" s="12">
        <v>43298</v>
      </c>
      <c r="C120" s="13">
        <f t="shared" si="1"/>
        <v>1</v>
      </c>
      <c r="D120" s="7">
        <v>297999928</v>
      </c>
    </row>
    <row r="121" spans="2:4" x14ac:dyDescent="0.3">
      <c r="B121" s="12">
        <v>43297</v>
      </c>
      <c r="C121" s="13">
        <f t="shared" si="1"/>
        <v>3</v>
      </c>
      <c r="D121" s="7">
        <v>295333262</v>
      </c>
    </row>
    <row r="122" spans="2:4" x14ac:dyDescent="0.3">
      <c r="B122" s="12">
        <v>43294</v>
      </c>
      <c r="C122" s="13">
        <f t="shared" si="1"/>
        <v>1</v>
      </c>
      <c r="D122" s="7">
        <v>293999929</v>
      </c>
    </row>
    <row r="123" spans="2:4" x14ac:dyDescent="0.3">
      <c r="B123" s="12">
        <v>43293</v>
      </c>
      <c r="C123" s="13">
        <f t="shared" si="1"/>
        <v>1</v>
      </c>
      <c r="D123" s="7">
        <v>291333263</v>
      </c>
    </row>
    <row r="124" spans="2:4" x14ac:dyDescent="0.3">
      <c r="B124" s="12">
        <v>43292</v>
      </c>
      <c r="C124" s="13">
        <f t="shared" si="1"/>
        <v>1</v>
      </c>
      <c r="D124" s="7">
        <v>288666597</v>
      </c>
    </row>
    <row r="125" spans="2:4" x14ac:dyDescent="0.3">
      <c r="B125" s="12">
        <v>43291</v>
      </c>
      <c r="C125" s="13">
        <f t="shared" si="1"/>
        <v>1</v>
      </c>
      <c r="D125" s="7">
        <v>287333264</v>
      </c>
    </row>
    <row r="126" spans="2:4" x14ac:dyDescent="0.3">
      <c r="B126" s="12">
        <v>43290</v>
      </c>
      <c r="C126" s="13">
        <f t="shared" si="1"/>
        <v>3</v>
      </c>
      <c r="D126" s="7">
        <v>284666598</v>
      </c>
    </row>
    <row r="127" spans="2:4" x14ac:dyDescent="0.3">
      <c r="B127" s="12">
        <v>43287</v>
      </c>
      <c r="C127" s="13">
        <f t="shared" si="1"/>
        <v>1</v>
      </c>
      <c r="D127" s="7">
        <v>283333265</v>
      </c>
    </row>
    <row r="128" spans="2:4" x14ac:dyDescent="0.3">
      <c r="B128" s="12">
        <v>43286</v>
      </c>
      <c r="C128" s="13">
        <f t="shared" si="1"/>
        <v>1</v>
      </c>
      <c r="D128" s="7">
        <v>280666599</v>
      </c>
    </row>
    <row r="129" spans="2:4" x14ac:dyDescent="0.3">
      <c r="B129" s="12">
        <v>43285</v>
      </c>
      <c r="C129" s="13">
        <f t="shared" si="1"/>
        <v>1</v>
      </c>
      <c r="D129" s="7">
        <v>277999933</v>
      </c>
    </row>
    <row r="130" spans="2:4" x14ac:dyDescent="0.3">
      <c r="B130" s="12">
        <v>43284</v>
      </c>
      <c r="C130" s="13">
        <f t="shared" si="1"/>
        <v>1</v>
      </c>
      <c r="D130" s="7">
        <v>276666600</v>
      </c>
    </row>
    <row r="131" spans="2:4" x14ac:dyDescent="0.3">
      <c r="B131" s="12">
        <v>43283</v>
      </c>
      <c r="C131" s="13">
        <f t="shared" si="1"/>
        <v>3</v>
      </c>
      <c r="D131" s="7">
        <v>273999934</v>
      </c>
    </row>
    <row r="132" spans="2:4" x14ac:dyDescent="0.3">
      <c r="B132" s="12">
        <v>43280</v>
      </c>
      <c r="C132" s="13">
        <f t="shared" si="1"/>
        <v>1</v>
      </c>
      <c r="D132" s="7">
        <v>272666601</v>
      </c>
    </row>
    <row r="133" spans="2:4" x14ac:dyDescent="0.3">
      <c r="B133" s="12">
        <v>43279</v>
      </c>
      <c r="C133" s="13">
        <f t="shared" si="1"/>
        <v>1</v>
      </c>
      <c r="D133" s="7">
        <v>269999935</v>
      </c>
    </row>
    <row r="134" spans="2:4" x14ac:dyDescent="0.3">
      <c r="B134" s="12">
        <v>43278</v>
      </c>
      <c r="C134" s="13">
        <f t="shared" ref="C134:C197" si="2">B134-B135</f>
        <v>1</v>
      </c>
      <c r="D134" s="7">
        <v>267333269</v>
      </c>
    </row>
    <row r="135" spans="2:4" x14ac:dyDescent="0.3">
      <c r="B135" s="12">
        <v>43277</v>
      </c>
      <c r="C135" s="13">
        <f t="shared" si="2"/>
        <v>1</v>
      </c>
      <c r="D135" s="7">
        <v>265999936</v>
      </c>
    </row>
    <row r="136" spans="2:4" x14ac:dyDescent="0.3">
      <c r="B136" s="12">
        <v>43276</v>
      </c>
      <c r="C136" s="13">
        <f t="shared" si="2"/>
        <v>3</v>
      </c>
      <c r="D136" s="7">
        <v>263333270</v>
      </c>
    </row>
    <row r="137" spans="2:4" x14ac:dyDescent="0.3">
      <c r="B137" s="12">
        <v>43273</v>
      </c>
      <c r="C137" s="13">
        <f t="shared" si="2"/>
        <v>1</v>
      </c>
      <c r="D137" s="7">
        <v>261999937</v>
      </c>
    </row>
    <row r="138" spans="2:4" x14ac:dyDescent="0.3">
      <c r="B138" s="12">
        <v>43272</v>
      </c>
      <c r="C138" s="13">
        <f t="shared" si="2"/>
        <v>1</v>
      </c>
      <c r="D138" s="7">
        <v>259333271</v>
      </c>
    </row>
    <row r="139" spans="2:4" x14ac:dyDescent="0.3">
      <c r="B139" s="12">
        <v>43271</v>
      </c>
      <c r="C139" s="13">
        <f t="shared" si="2"/>
        <v>1</v>
      </c>
      <c r="D139" s="7">
        <v>256666605</v>
      </c>
    </row>
    <row r="140" spans="2:4" x14ac:dyDescent="0.3">
      <c r="B140" s="12">
        <v>43270</v>
      </c>
      <c r="C140" s="13">
        <f t="shared" si="2"/>
        <v>1</v>
      </c>
      <c r="D140" s="7">
        <v>255333272</v>
      </c>
    </row>
    <row r="141" spans="2:4" x14ac:dyDescent="0.3">
      <c r="B141" s="12">
        <v>43269</v>
      </c>
      <c r="C141" s="13">
        <f t="shared" si="2"/>
        <v>3</v>
      </c>
      <c r="D141" s="7">
        <v>252666606</v>
      </c>
    </row>
    <row r="142" spans="2:4" x14ac:dyDescent="0.3">
      <c r="B142" s="12">
        <v>43266</v>
      </c>
      <c r="C142" s="13">
        <f t="shared" si="2"/>
        <v>1</v>
      </c>
      <c r="D142" s="7">
        <v>251333273</v>
      </c>
    </row>
    <row r="143" spans="2:4" x14ac:dyDescent="0.3">
      <c r="B143" s="12">
        <v>43265</v>
      </c>
      <c r="C143" s="13">
        <f t="shared" si="2"/>
        <v>1</v>
      </c>
      <c r="D143" s="7">
        <v>248666607</v>
      </c>
    </row>
    <row r="144" spans="2:4" x14ac:dyDescent="0.3">
      <c r="B144" s="12">
        <v>43264</v>
      </c>
      <c r="C144" s="13">
        <f t="shared" si="2"/>
        <v>1</v>
      </c>
      <c r="D144" s="7">
        <v>245999941</v>
      </c>
    </row>
    <row r="145" spans="2:4" x14ac:dyDescent="0.3">
      <c r="B145" s="12">
        <v>43263</v>
      </c>
      <c r="C145" s="13">
        <f t="shared" si="2"/>
        <v>1</v>
      </c>
      <c r="D145" s="7">
        <v>244666608</v>
      </c>
    </row>
    <row r="146" spans="2:4" x14ac:dyDescent="0.3">
      <c r="B146" s="12">
        <v>43262</v>
      </c>
      <c r="C146" s="13">
        <f t="shared" si="2"/>
        <v>3</v>
      </c>
      <c r="D146" s="7">
        <v>241999942</v>
      </c>
    </row>
    <row r="147" spans="2:4" x14ac:dyDescent="0.3">
      <c r="B147" s="12">
        <v>43259</v>
      </c>
      <c r="C147" s="13">
        <f t="shared" si="2"/>
        <v>1</v>
      </c>
      <c r="D147" s="7">
        <v>240666609</v>
      </c>
    </row>
    <row r="148" spans="2:4" x14ac:dyDescent="0.3">
      <c r="B148" s="12">
        <v>43258</v>
      </c>
      <c r="C148" s="13">
        <f t="shared" si="2"/>
        <v>1</v>
      </c>
      <c r="D148" s="7">
        <v>237999943</v>
      </c>
    </row>
    <row r="149" spans="2:4" x14ac:dyDescent="0.3">
      <c r="B149" s="12">
        <v>43257</v>
      </c>
      <c r="C149" s="13">
        <f t="shared" si="2"/>
        <v>1</v>
      </c>
      <c r="D149" s="7">
        <v>235333277</v>
      </c>
    </row>
    <row r="150" spans="2:4" x14ac:dyDescent="0.3">
      <c r="B150" s="12">
        <v>43256</v>
      </c>
      <c r="C150" s="13">
        <f t="shared" si="2"/>
        <v>1</v>
      </c>
      <c r="D150" s="7">
        <v>233999944</v>
      </c>
    </row>
    <row r="151" spans="2:4" x14ac:dyDescent="0.3">
      <c r="B151" s="12">
        <v>43255</v>
      </c>
      <c r="C151" s="13">
        <f t="shared" si="2"/>
        <v>3</v>
      </c>
      <c r="D151" s="7">
        <v>231333278</v>
      </c>
    </row>
    <row r="152" spans="2:4" x14ac:dyDescent="0.3">
      <c r="B152" s="12">
        <v>43252</v>
      </c>
      <c r="C152" s="13">
        <f t="shared" si="2"/>
        <v>1</v>
      </c>
      <c r="D152" s="7">
        <v>229999945</v>
      </c>
    </row>
    <row r="153" spans="2:4" x14ac:dyDescent="0.3">
      <c r="B153" s="12">
        <v>43251</v>
      </c>
      <c r="C153" s="13">
        <f t="shared" si="2"/>
        <v>1</v>
      </c>
      <c r="D153" s="7">
        <v>227333279</v>
      </c>
    </row>
    <row r="154" spans="2:4" x14ac:dyDescent="0.3">
      <c r="B154" s="12">
        <v>43250</v>
      </c>
      <c r="C154" s="13">
        <f t="shared" si="2"/>
        <v>1</v>
      </c>
      <c r="D154" s="7">
        <v>224666613</v>
      </c>
    </row>
    <row r="155" spans="2:4" x14ac:dyDescent="0.3">
      <c r="B155" s="12">
        <v>43249</v>
      </c>
      <c r="C155" s="13">
        <f t="shared" si="2"/>
        <v>1</v>
      </c>
      <c r="D155" s="7">
        <v>223333280</v>
      </c>
    </row>
    <row r="156" spans="2:4" x14ac:dyDescent="0.3">
      <c r="B156" s="12">
        <v>43248</v>
      </c>
      <c r="C156" s="13">
        <f t="shared" si="2"/>
        <v>3</v>
      </c>
      <c r="D156" s="7">
        <v>220666614</v>
      </c>
    </row>
    <row r="157" spans="2:4" x14ac:dyDescent="0.3">
      <c r="B157" s="12">
        <v>43245</v>
      </c>
      <c r="C157" s="13">
        <f t="shared" si="2"/>
        <v>1</v>
      </c>
      <c r="D157" s="7">
        <v>219333281</v>
      </c>
    </row>
    <row r="158" spans="2:4" x14ac:dyDescent="0.3">
      <c r="B158" s="12">
        <v>43244</v>
      </c>
      <c r="C158" s="13">
        <f t="shared" si="2"/>
        <v>1</v>
      </c>
      <c r="D158" s="7">
        <v>216666615</v>
      </c>
    </row>
    <row r="159" spans="2:4" x14ac:dyDescent="0.3">
      <c r="B159" s="12">
        <v>43243</v>
      </c>
      <c r="C159" s="13">
        <f t="shared" si="2"/>
        <v>1</v>
      </c>
      <c r="D159" s="7">
        <v>213999949</v>
      </c>
    </row>
    <row r="160" spans="2:4" x14ac:dyDescent="0.3">
      <c r="B160" s="12">
        <v>43242</v>
      </c>
      <c r="C160" s="13">
        <f t="shared" si="2"/>
        <v>4</v>
      </c>
      <c r="D160" s="7">
        <v>212666616</v>
      </c>
    </row>
    <row r="161" spans="2:4" x14ac:dyDescent="0.3">
      <c r="B161" s="12">
        <v>43238</v>
      </c>
      <c r="C161" s="13">
        <f t="shared" si="2"/>
        <v>1</v>
      </c>
      <c r="D161" s="7">
        <v>209999950</v>
      </c>
    </row>
    <row r="162" spans="2:4" x14ac:dyDescent="0.3">
      <c r="B162" s="12">
        <v>43237</v>
      </c>
      <c r="C162" s="13">
        <f t="shared" si="2"/>
        <v>1</v>
      </c>
      <c r="D162" s="7">
        <v>208666617</v>
      </c>
    </row>
    <row r="163" spans="2:4" x14ac:dyDescent="0.3">
      <c r="B163" s="12">
        <v>43236</v>
      </c>
      <c r="C163" s="13">
        <f t="shared" si="2"/>
        <v>1</v>
      </c>
      <c r="D163" s="7">
        <v>205999951</v>
      </c>
    </row>
    <row r="164" spans="2:4" x14ac:dyDescent="0.3">
      <c r="B164" s="12">
        <v>43235</v>
      </c>
      <c r="C164" s="13">
        <f t="shared" si="2"/>
        <v>1</v>
      </c>
      <c r="D164" s="7">
        <v>203333285</v>
      </c>
    </row>
    <row r="165" spans="2:4" x14ac:dyDescent="0.3">
      <c r="B165" s="12">
        <v>43234</v>
      </c>
      <c r="C165" s="13">
        <f t="shared" si="2"/>
        <v>3</v>
      </c>
      <c r="D165" s="7">
        <v>201999952</v>
      </c>
    </row>
    <row r="166" spans="2:4" x14ac:dyDescent="0.3">
      <c r="B166" s="12">
        <v>43231</v>
      </c>
      <c r="C166" s="13">
        <f t="shared" si="2"/>
        <v>2</v>
      </c>
      <c r="D166" s="7">
        <v>199333286</v>
      </c>
    </row>
    <row r="167" spans="2:4" x14ac:dyDescent="0.3">
      <c r="B167" s="12">
        <v>43229</v>
      </c>
      <c r="C167" s="13">
        <f t="shared" si="2"/>
        <v>1</v>
      </c>
      <c r="D167" s="7">
        <v>197999953</v>
      </c>
    </row>
    <row r="168" spans="2:4" x14ac:dyDescent="0.3">
      <c r="B168" s="12">
        <v>43228</v>
      </c>
      <c r="C168" s="13">
        <f t="shared" si="2"/>
        <v>1</v>
      </c>
      <c r="D168" s="7">
        <v>195333287</v>
      </c>
    </row>
    <row r="169" spans="2:4" x14ac:dyDescent="0.3">
      <c r="B169" s="12">
        <v>43227</v>
      </c>
      <c r="C169" s="13">
        <f t="shared" si="2"/>
        <v>3</v>
      </c>
      <c r="D169" s="7">
        <v>192666621</v>
      </c>
    </row>
    <row r="170" spans="2:4" x14ac:dyDescent="0.3">
      <c r="B170" s="12">
        <v>43224</v>
      </c>
      <c r="C170" s="13">
        <f t="shared" si="2"/>
        <v>1</v>
      </c>
      <c r="D170" s="7">
        <v>191333288</v>
      </c>
    </row>
    <row r="171" spans="2:4" x14ac:dyDescent="0.3">
      <c r="B171" s="12">
        <v>43223</v>
      </c>
      <c r="C171" s="13">
        <f t="shared" si="2"/>
        <v>1</v>
      </c>
      <c r="D171" s="7">
        <v>188666622</v>
      </c>
    </row>
    <row r="172" spans="2:4" x14ac:dyDescent="0.3">
      <c r="B172" s="12">
        <v>43222</v>
      </c>
      <c r="C172" s="13">
        <f t="shared" si="2"/>
        <v>2</v>
      </c>
      <c r="D172" s="7">
        <v>187333289</v>
      </c>
    </row>
    <row r="173" spans="2:4" x14ac:dyDescent="0.3">
      <c r="B173" s="12">
        <v>43220</v>
      </c>
      <c r="C173" s="13">
        <f t="shared" si="2"/>
        <v>3</v>
      </c>
      <c r="D173" s="7">
        <v>184666623</v>
      </c>
    </row>
    <row r="174" spans="2:4" x14ac:dyDescent="0.3">
      <c r="B174" s="12">
        <v>43217</v>
      </c>
      <c r="C174" s="13">
        <f t="shared" si="2"/>
        <v>1</v>
      </c>
      <c r="D174" s="7">
        <v>181999957</v>
      </c>
    </row>
    <row r="175" spans="2:4" x14ac:dyDescent="0.3">
      <c r="B175" s="12">
        <v>43216</v>
      </c>
      <c r="C175" s="13">
        <f t="shared" si="2"/>
        <v>1</v>
      </c>
      <c r="D175" s="7">
        <v>180666624</v>
      </c>
    </row>
    <row r="176" spans="2:4" x14ac:dyDescent="0.3">
      <c r="B176" s="12">
        <v>43215</v>
      </c>
      <c r="C176" s="13">
        <f t="shared" si="2"/>
        <v>1</v>
      </c>
      <c r="D176" s="7">
        <v>177999958</v>
      </c>
    </row>
    <row r="177" spans="2:4" x14ac:dyDescent="0.3">
      <c r="B177" s="12">
        <v>43214</v>
      </c>
      <c r="C177" s="13">
        <f t="shared" si="2"/>
        <v>1</v>
      </c>
      <c r="D177" s="7">
        <v>176666625</v>
      </c>
    </row>
    <row r="178" spans="2:4" x14ac:dyDescent="0.3">
      <c r="B178" s="12">
        <v>43213</v>
      </c>
      <c r="C178" s="13">
        <f t="shared" si="2"/>
        <v>3</v>
      </c>
      <c r="D178" s="7">
        <v>173999959</v>
      </c>
    </row>
    <row r="179" spans="2:4" x14ac:dyDescent="0.3">
      <c r="B179" s="12">
        <v>43210</v>
      </c>
      <c r="C179" s="13">
        <f t="shared" si="2"/>
        <v>1</v>
      </c>
      <c r="D179" s="7">
        <v>171333293</v>
      </c>
    </row>
    <row r="180" spans="2:4" x14ac:dyDescent="0.3">
      <c r="B180" s="12">
        <v>43209</v>
      </c>
      <c r="C180" s="13">
        <f t="shared" si="2"/>
        <v>1</v>
      </c>
      <c r="D180" s="7">
        <v>169999960</v>
      </c>
    </row>
    <row r="181" spans="2:4" x14ac:dyDescent="0.3">
      <c r="B181" s="12">
        <v>43208</v>
      </c>
      <c r="C181" s="13">
        <f t="shared" si="2"/>
        <v>1</v>
      </c>
      <c r="D181" s="7">
        <v>167333294</v>
      </c>
    </row>
    <row r="182" spans="2:4" x14ac:dyDescent="0.3">
      <c r="B182" s="12">
        <v>43207</v>
      </c>
      <c r="C182" s="13">
        <f t="shared" si="2"/>
        <v>1</v>
      </c>
      <c r="D182" s="7">
        <v>165999961</v>
      </c>
    </row>
    <row r="183" spans="2:4" x14ac:dyDescent="0.3">
      <c r="B183" s="12">
        <v>43206</v>
      </c>
      <c r="C183" s="13">
        <f t="shared" si="2"/>
        <v>3</v>
      </c>
      <c r="D183" s="7">
        <v>163333295</v>
      </c>
    </row>
    <row r="184" spans="2:4" x14ac:dyDescent="0.3">
      <c r="B184" s="12">
        <v>43203</v>
      </c>
      <c r="C184" s="13">
        <f t="shared" si="2"/>
        <v>1</v>
      </c>
      <c r="D184" s="7">
        <v>160666629</v>
      </c>
    </row>
    <row r="185" spans="2:4" x14ac:dyDescent="0.3">
      <c r="B185" s="12">
        <v>43202</v>
      </c>
      <c r="C185" s="13">
        <f t="shared" si="2"/>
        <v>1</v>
      </c>
      <c r="D185" s="7">
        <v>159333296</v>
      </c>
    </row>
    <row r="186" spans="2:4" x14ac:dyDescent="0.3">
      <c r="B186" s="12">
        <v>43201</v>
      </c>
      <c r="C186" s="13">
        <f t="shared" si="2"/>
        <v>1</v>
      </c>
      <c r="D186" s="7">
        <v>156666630</v>
      </c>
    </row>
    <row r="187" spans="2:4" x14ac:dyDescent="0.3">
      <c r="B187" s="12">
        <v>43200</v>
      </c>
      <c r="C187" s="13">
        <f t="shared" si="2"/>
        <v>1</v>
      </c>
      <c r="D187" s="7">
        <v>155333297</v>
      </c>
    </row>
    <row r="188" spans="2:4" x14ac:dyDescent="0.3">
      <c r="B188" s="12">
        <v>43199</v>
      </c>
      <c r="C188" s="13">
        <f t="shared" si="2"/>
        <v>3</v>
      </c>
      <c r="D188" s="7">
        <v>152666631</v>
      </c>
    </row>
    <row r="189" spans="2:4" x14ac:dyDescent="0.3">
      <c r="B189" s="12">
        <v>43196</v>
      </c>
      <c r="C189" s="13">
        <f t="shared" si="2"/>
        <v>1</v>
      </c>
      <c r="D189" s="7">
        <v>149999965</v>
      </c>
    </row>
    <row r="190" spans="2:4" x14ac:dyDescent="0.3">
      <c r="B190" s="12">
        <v>43195</v>
      </c>
      <c r="C190" s="13">
        <f t="shared" si="2"/>
        <v>1</v>
      </c>
      <c r="D190" s="7">
        <v>148666632</v>
      </c>
    </row>
    <row r="191" spans="2:4" x14ac:dyDescent="0.3">
      <c r="B191" s="12">
        <v>43194</v>
      </c>
      <c r="C191" s="13">
        <f t="shared" si="2"/>
        <v>1</v>
      </c>
      <c r="D191" s="7">
        <v>145999966</v>
      </c>
    </row>
    <row r="192" spans="2:4" x14ac:dyDescent="0.3">
      <c r="B192" s="12">
        <v>43193</v>
      </c>
      <c r="C192" s="13">
        <f t="shared" si="2"/>
        <v>5</v>
      </c>
      <c r="D192" s="7">
        <v>144666633</v>
      </c>
    </row>
    <row r="193" spans="2:4" x14ac:dyDescent="0.3">
      <c r="B193" s="12">
        <v>43188</v>
      </c>
      <c r="C193" s="13">
        <f t="shared" si="2"/>
        <v>1</v>
      </c>
      <c r="D193" s="7">
        <v>141999967</v>
      </c>
    </row>
    <row r="194" spans="2:4" x14ac:dyDescent="0.3">
      <c r="B194" s="12">
        <v>43187</v>
      </c>
      <c r="C194" s="13">
        <f t="shared" si="2"/>
        <v>1</v>
      </c>
      <c r="D194" s="7">
        <v>139333301</v>
      </c>
    </row>
    <row r="195" spans="2:4" x14ac:dyDescent="0.3">
      <c r="B195" s="12">
        <v>43186</v>
      </c>
      <c r="C195" s="13">
        <f t="shared" si="2"/>
        <v>1</v>
      </c>
      <c r="D195" s="7">
        <v>137999968</v>
      </c>
    </row>
    <row r="196" spans="2:4" x14ac:dyDescent="0.3">
      <c r="B196" s="12">
        <v>43185</v>
      </c>
      <c r="C196" s="13">
        <f t="shared" si="2"/>
        <v>3</v>
      </c>
      <c r="D196" s="7">
        <v>135333302</v>
      </c>
    </row>
    <row r="197" spans="2:4" x14ac:dyDescent="0.3">
      <c r="B197" s="12">
        <v>43182</v>
      </c>
      <c r="C197" s="13">
        <f t="shared" si="2"/>
        <v>1</v>
      </c>
      <c r="D197" s="7">
        <v>133999969</v>
      </c>
    </row>
    <row r="198" spans="2:4" x14ac:dyDescent="0.3">
      <c r="B198" s="12">
        <v>43181</v>
      </c>
      <c r="C198" s="13">
        <f t="shared" ref="C198:C254" si="3">B198-B199</f>
        <v>1</v>
      </c>
      <c r="D198" s="7">
        <v>131333303</v>
      </c>
    </row>
    <row r="199" spans="2:4" x14ac:dyDescent="0.3">
      <c r="B199" s="12">
        <v>43180</v>
      </c>
      <c r="C199" s="13">
        <f t="shared" si="3"/>
        <v>1</v>
      </c>
      <c r="D199" s="7">
        <v>128666637</v>
      </c>
    </row>
    <row r="200" spans="2:4" x14ac:dyDescent="0.3">
      <c r="B200" s="12">
        <v>43179</v>
      </c>
      <c r="C200" s="13">
        <f t="shared" si="3"/>
        <v>1</v>
      </c>
      <c r="D200" s="7">
        <v>127333304</v>
      </c>
    </row>
    <row r="201" spans="2:4" x14ac:dyDescent="0.3">
      <c r="B201" s="12">
        <v>43178</v>
      </c>
      <c r="C201" s="13">
        <f t="shared" si="3"/>
        <v>3</v>
      </c>
      <c r="D201" s="7">
        <v>124666638</v>
      </c>
    </row>
    <row r="202" spans="2:4" x14ac:dyDescent="0.3">
      <c r="B202" s="12">
        <v>43175</v>
      </c>
      <c r="C202" s="13">
        <f t="shared" si="3"/>
        <v>1</v>
      </c>
      <c r="D202" s="7">
        <v>123333305</v>
      </c>
    </row>
    <row r="203" spans="2:4" x14ac:dyDescent="0.3">
      <c r="B203" s="12">
        <v>43174</v>
      </c>
      <c r="C203" s="13">
        <f t="shared" si="3"/>
        <v>1</v>
      </c>
      <c r="D203" s="7">
        <v>120666639</v>
      </c>
    </row>
    <row r="204" spans="2:4" x14ac:dyDescent="0.3">
      <c r="B204" s="12">
        <v>43173</v>
      </c>
      <c r="C204" s="13">
        <f t="shared" si="3"/>
        <v>1</v>
      </c>
      <c r="D204" s="7">
        <v>117999973</v>
      </c>
    </row>
    <row r="205" spans="2:4" x14ac:dyDescent="0.3">
      <c r="B205" s="12">
        <v>43172</v>
      </c>
      <c r="C205" s="13">
        <f t="shared" si="3"/>
        <v>1</v>
      </c>
      <c r="D205" s="7">
        <v>116666640</v>
      </c>
    </row>
    <row r="206" spans="2:4" x14ac:dyDescent="0.3">
      <c r="B206" s="12">
        <v>43171</v>
      </c>
      <c r="C206" s="13">
        <f t="shared" si="3"/>
        <v>3</v>
      </c>
      <c r="D206" s="7">
        <v>113999974</v>
      </c>
    </row>
    <row r="207" spans="2:4" x14ac:dyDescent="0.3">
      <c r="B207" s="12">
        <v>43168</v>
      </c>
      <c r="C207" s="13">
        <f t="shared" si="3"/>
        <v>1</v>
      </c>
      <c r="D207" s="7">
        <v>112666641</v>
      </c>
    </row>
    <row r="208" spans="2:4" x14ac:dyDescent="0.3">
      <c r="B208" s="12">
        <v>43167</v>
      </c>
      <c r="C208" s="13">
        <f t="shared" si="3"/>
        <v>1</v>
      </c>
      <c r="D208" s="7">
        <v>109999975</v>
      </c>
    </row>
    <row r="209" spans="2:4" x14ac:dyDescent="0.3">
      <c r="B209" s="12">
        <v>43166</v>
      </c>
      <c r="C209" s="13">
        <f t="shared" si="3"/>
        <v>1</v>
      </c>
      <c r="D209" s="7">
        <v>107333309</v>
      </c>
    </row>
    <row r="210" spans="2:4" x14ac:dyDescent="0.3">
      <c r="B210" s="12">
        <v>43165</v>
      </c>
      <c r="C210" s="13">
        <f t="shared" si="3"/>
        <v>1</v>
      </c>
      <c r="D210" s="7">
        <v>105999976</v>
      </c>
    </row>
    <row r="211" spans="2:4" x14ac:dyDescent="0.3">
      <c r="B211" s="12">
        <v>43164</v>
      </c>
      <c r="C211" s="13">
        <f t="shared" si="3"/>
        <v>3</v>
      </c>
      <c r="D211" s="7">
        <v>103333310</v>
      </c>
    </row>
    <row r="212" spans="2:4" x14ac:dyDescent="0.3">
      <c r="B212" s="12">
        <v>43161</v>
      </c>
      <c r="C212" s="13">
        <f t="shared" si="3"/>
        <v>1</v>
      </c>
      <c r="D212" s="7">
        <v>101999977</v>
      </c>
    </row>
    <row r="213" spans="2:4" x14ac:dyDescent="0.3">
      <c r="B213" s="12">
        <v>43160</v>
      </c>
      <c r="C213" s="13">
        <f t="shared" si="3"/>
        <v>1</v>
      </c>
      <c r="D213" s="7">
        <v>99333311</v>
      </c>
    </row>
    <row r="214" spans="2:4" x14ac:dyDescent="0.3">
      <c r="B214" s="12">
        <v>43159</v>
      </c>
      <c r="C214" s="13">
        <f t="shared" si="3"/>
        <v>1</v>
      </c>
      <c r="D214" s="7">
        <v>96666645</v>
      </c>
    </row>
    <row r="215" spans="2:4" x14ac:dyDescent="0.3">
      <c r="B215" s="12">
        <v>43158</v>
      </c>
      <c r="C215" s="13">
        <f t="shared" si="3"/>
        <v>1</v>
      </c>
      <c r="D215" s="7">
        <v>95333312</v>
      </c>
    </row>
    <row r="216" spans="2:4" x14ac:dyDescent="0.3">
      <c r="B216" s="12">
        <v>43157</v>
      </c>
      <c r="C216" s="13">
        <f t="shared" si="3"/>
        <v>3</v>
      </c>
      <c r="D216" s="7">
        <v>92666646</v>
      </c>
    </row>
    <row r="217" spans="2:4" x14ac:dyDescent="0.3">
      <c r="B217" s="12">
        <v>43154</v>
      </c>
      <c r="C217" s="13">
        <f t="shared" si="3"/>
        <v>1</v>
      </c>
      <c r="D217" s="7">
        <v>91333313</v>
      </c>
    </row>
    <row r="218" spans="2:4" x14ac:dyDescent="0.3">
      <c r="B218" s="12">
        <v>43153</v>
      </c>
      <c r="C218" s="13">
        <f t="shared" si="3"/>
        <v>1</v>
      </c>
      <c r="D218" s="7">
        <v>88666647</v>
      </c>
    </row>
    <row r="219" spans="2:4" x14ac:dyDescent="0.3">
      <c r="B219" s="12">
        <v>43152</v>
      </c>
      <c r="C219" s="13">
        <f t="shared" si="3"/>
        <v>1</v>
      </c>
      <c r="D219" s="7">
        <v>85999981</v>
      </c>
    </row>
    <row r="220" spans="2:4" x14ac:dyDescent="0.3">
      <c r="B220" s="12">
        <v>43151</v>
      </c>
      <c r="C220" s="13">
        <f t="shared" si="3"/>
        <v>1</v>
      </c>
      <c r="D220" s="7">
        <v>84666648</v>
      </c>
    </row>
    <row r="221" spans="2:4" x14ac:dyDescent="0.3">
      <c r="B221" s="12">
        <v>43150</v>
      </c>
      <c r="C221" s="13">
        <f t="shared" si="3"/>
        <v>3</v>
      </c>
      <c r="D221" s="7">
        <v>81999982</v>
      </c>
    </row>
    <row r="222" spans="2:4" x14ac:dyDescent="0.3">
      <c r="B222" s="12">
        <v>43147</v>
      </c>
      <c r="C222" s="13">
        <f t="shared" si="3"/>
        <v>1</v>
      </c>
      <c r="D222" s="7">
        <v>80666649</v>
      </c>
    </row>
    <row r="223" spans="2:4" x14ac:dyDescent="0.3">
      <c r="B223" s="12">
        <v>43146</v>
      </c>
      <c r="C223" s="13">
        <f t="shared" si="3"/>
        <v>1</v>
      </c>
      <c r="D223" s="7">
        <v>77999983</v>
      </c>
    </row>
    <row r="224" spans="2:4" x14ac:dyDescent="0.3">
      <c r="B224" s="12">
        <v>43145</v>
      </c>
      <c r="C224" s="13">
        <f t="shared" si="3"/>
        <v>1</v>
      </c>
      <c r="D224" s="7">
        <v>75333317</v>
      </c>
    </row>
    <row r="225" spans="2:4" x14ac:dyDescent="0.3">
      <c r="B225" s="12">
        <v>43144</v>
      </c>
      <c r="C225" s="13">
        <f t="shared" si="3"/>
        <v>1</v>
      </c>
      <c r="D225" s="7">
        <v>73999984</v>
      </c>
    </row>
    <row r="226" spans="2:4" x14ac:dyDescent="0.3">
      <c r="B226" s="12">
        <v>43143</v>
      </c>
      <c r="C226" s="13">
        <f t="shared" si="3"/>
        <v>3</v>
      </c>
      <c r="D226" s="7">
        <v>71333318</v>
      </c>
    </row>
    <row r="227" spans="2:4" x14ac:dyDescent="0.3">
      <c r="B227" s="12">
        <v>43140</v>
      </c>
      <c r="C227" s="13">
        <f t="shared" si="3"/>
        <v>1</v>
      </c>
      <c r="D227" s="7">
        <v>69999985</v>
      </c>
    </row>
    <row r="228" spans="2:4" x14ac:dyDescent="0.3">
      <c r="B228" s="12">
        <v>43139</v>
      </c>
      <c r="C228" s="13">
        <f t="shared" si="3"/>
        <v>1</v>
      </c>
      <c r="D228" s="7">
        <v>67333319</v>
      </c>
    </row>
    <row r="229" spans="2:4" x14ac:dyDescent="0.3">
      <c r="B229" s="12">
        <v>43138</v>
      </c>
      <c r="C229" s="13">
        <f t="shared" si="3"/>
        <v>1</v>
      </c>
      <c r="D229" s="7">
        <v>64666653</v>
      </c>
    </row>
    <row r="230" spans="2:4" x14ac:dyDescent="0.3">
      <c r="B230" s="12">
        <v>43137</v>
      </c>
      <c r="C230" s="13">
        <f t="shared" si="3"/>
        <v>1</v>
      </c>
      <c r="D230" s="7">
        <v>63333320</v>
      </c>
    </row>
    <row r="231" spans="2:4" x14ac:dyDescent="0.3">
      <c r="B231" s="12">
        <v>43136</v>
      </c>
      <c r="C231" s="13">
        <f t="shared" si="3"/>
        <v>3</v>
      </c>
      <c r="D231" s="7">
        <v>60666654</v>
      </c>
    </row>
    <row r="232" spans="2:4" x14ac:dyDescent="0.3">
      <c r="B232" s="12">
        <v>43133</v>
      </c>
      <c r="C232" s="13">
        <f t="shared" si="3"/>
        <v>1</v>
      </c>
      <c r="D232" s="7">
        <v>59333321</v>
      </c>
    </row>
    <row r="233" spans="2:4" x14ac:dyDescent="0.3">
      <c r="B233" s="12">
        <v>43132</v>
      </c>
      <c r="C233" s="13">
        <f t="shared" si="3"/>
        <v>1</v>
      </c>
      <c r="D233" s="7">
        <v>56666655</v>
      </c>
    </row>
    <row r="234" spans="2:4" x14ac:dyDescent="0.3">
      <c r="B234" s="12">
        <v>43131</v>
      </c>
      <c r="C234" s="13">
        <f t="shared" si="3"/>
        <v>1</v>
      </c>
      <c r="D234" s="7">
        <v>53999989</v>
      </c>
    </row>
    <row r="235" spans="2:4" x14ac:dyDescent="0.3">
      <c r="B235" s="12">
        <v>43130</v>
      </c>
      <c r="C235" s="13">
        <f t="shared" si="3"/>
        <v>1</v>
      </c>
      <c r="D235" s="7">
        <v>52666656</v>
      </c>
    </row>
    <row r="236" spans="2:4" x14ac:dyDescent="0.3">
      <c r="B236" s="12">
        <v>43129</v>
      </c>
      <c r="C236" s="13">
        <f t="shared" si="3"/>
        <v>3</v>
      </c>
      <c r="D236" s="7">
        <v>49999990</v>
      </c>
    </row>
    <row r="237" spans="2:4" x14ac:dyDescent="0.3">
      <c r="B237" s="12">
        <v>43126</v>
      </c>
      <c r="C237" s="13">
        <f t="shared" si="3"/>
        <v>1</v>
      </c>
      <c r="D237" s="7">
        <v>48666657</v>
      </c>
    </row>
    <row r="238" spans="2:4" x14ac:dyDescent="0.3">
      <c r="B238" s="12">
        <v>43125</v>
      </c>
      <c r="C238" s="13">
        <f t="shared" si="3"/>
        <v>1</v>
      </c>
      <c r="D238" s="7">
        <v>45999991</v>
      </c>
    </row>
    <row r="239" spans="2:4" x14ac:dyDescent="0.3">
      <c r="B239" s="12">
        <v>43124</v>
      </c>
      <c r="C239" s="13">
        <f t="shared" si="3"/>
        <v>1</v>
      </c>
      <c r="D239" s="7">
        <v>43333325</v>
      </c>
    </row>
    <row r="240" spans="2:4" x14ac:dyDescent="0.3">
      <c r="B240" s="12">
        <v>43123</v>
      </c>
      <c r="C240" s="13">
        <f t="shared" si="3"/>
        <v>1</v>
      </c>
      <c r="D240" s="7">
        <v>41999992</v>
      </c>
    </row>
    <row r="241" spans="2:4" x14ac:dyDescent="0.3">
      <c r="B241" s="12">
        <v>43122</v>
      </c>
      <c r="C241" s="13">
        <f t="shared" si="3"/>
        <v>3</v>
      </c>
      <c r="D241" s="7">
        <v>39333326</v>
      </c>
    </row>
    <row r="242" spans="2:4" x14ac:dyDescent="0.3">
      <c r="B242" s="12">
        <v>43119</v>
      </c>
      <c r="C242" s="13">
        <f t="shared" si="3"/>
        <v>1</v>
      </c>
      <c r="D242" s="7">
        <v>37999993</v>
      </c>
    </row>
    <row r="243" spans="2:4" x14ac:dyDescent="0.3">
      <c r="B243" s="12">
        <v>43118</v>
      </c>
      <c r="C243" s="13">
        <f t="shared" si="3"/>
        <v>1</v>
      </c>
      <c r="D243" s="7">
        <v>35333327</v>
      </c>
    </row>
    <row r="244" spans="2:4" x14ac:dyDescent="0.3">
      <c r="B244" s="12">
        <v>43117</v>
      </c>
      <c r="C244" s="13">
        <f t="shared" si="3"/>
        <v>1</v>
      </c>
      <c r="D244" s="7">
        <v>32666661</v>
      </c>
    </row>
    <row r="245" spans="2:4" x14ac:dyDescent="0.3">
      <c r="B245" s="12">
        <v>43116</v>
      </c>
      <c r="C245" s="13">
        <f t="shared" si="3"/>
        <v>1</v>
      </c>
      <c r="D245" s="7">
        <v>31333328</v>
      </c>
    </row>
    <row r="246" spans="2:4" x14ac:dyDescent="0.3">
      <c r="B246" s="12">
        <v>43115</v>
      </c>
      <c r="C246" s="13">
        <f t="shared" si="3"/>
        <v>3</v>
      </c>
      <c r="D246" s="7">
        <v>28666662</v>
      </c>
    </row>
    <row r="247" spans="2:4" x14ac:dyDescent="0.3">
      <c r="B247" s="12">
        <v>43112</v>
      </c>
      <c r="C247" s="13">
        <f t="shared" si="3"/>
        <v>1</v>
      </c>
      <c r="D247" s="7">
        <v>27333329</v>
      </c>
    </row>
    <row r="248" spans="2:4" x14ac:dyDescent="0.3">
      <c r="B248" s="12">
        <v>43111</v>
      </c>
      <c r="C248" s="13">
        <f t="shared" si="3"/>
        <v>1</v>
      </c>
      <c r="D248" s="7">
        <v>24666663</v>
      </c>
    </row>
    <row r="249" spans="2:4" x14ac:dyDescent="0.3">
      <c r="B249" s="12">
        <v>43110</v>
      </c>
      <c r="C249" s="13">
        <f t="shared" si="3"/>
        <v>1</v>
      </c>
      <c r="D249" s="7">
        <v>21999997</v>
      </c>
    </row>
    <row r="250" spans="2:4" x14ac:dyDescent="0.3">
      <c r="B250" s="12">
        <v>43109</v>
      </c>
      <c r="C250" s="13">
        <f t="shared" si="3"/>
        <v>1</v>
      </c>
      <c r="D250" s="7">
        <v>20666664</v>
      </c>
    </row>
    <row r="251" spans="2:4" x14ac:dyDescent="0.3">
      <c r="B251" s="12">
        <v>43108</v>
      </c>
      <c r="C251" s="13">
        <f t="shared" si="3"/>
        <v>3</v>
      </c>
      <c r="D251" s="7">
        <v>17999998</v>
      </c>
    </row>
    <row r="252" spans="2:4" x14ac:dyDescent="0.3">
      <c r="B252" s="12">
        <v>43105</v>
      </c>
      <c r="C252" s="13">
        <f t="shared" si="3"/>
        <v>1</v>
      </c>
      <c r="D252" s="7">
        <v>16666665</v>
      </c>
    </row>
    <row r="253" spans="2:4" x14ac:dyDescent="0.3">
      <c r="B253" s="12">
        <v>43104</v>
      </c>
      <c r="C253" s="13">
        <f t="shared" si="3"/>
        <v>1</v>
      </c>
      <c r="D253" s="7">
        <v>13999999</v>
      </c>
    </row>
    <row r="254" spans="2:4" x14ac:dyDescent="0.3">
      <c r="B254" s="12">
        <v>43103</v>
      </c>
      <c r="C254" s="13">
        <f t="shared" si="3"/>
        <v>1</v>
      </c>
      <c r="D254" s="7">
        <v>11333333</v>
      </c>
    </row>
    <row r="255" spans="2:4" x14ac:dyDescent="0.3">
      <c r="B255" s="15">
        <v>43102</v>
      </c>
      <c r="C255" s="16">
        <v>2</v>
      </c>
      <c r="D255" s="9">
        <v>10000000</v>
      </c>
    </row>
  </sheetData>
  <mergeCells count="4">
    <mergeCell ref="B2:D2"/>
    <mergeCell ref="F2:G2"/>
    <mergeCell ref="I2:J2"/>
    <mergeCell ref="L2:M2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Example1</vt:lpstr>
      <vt:lpstr>Example2</vt:lpstr>
      <vt:lpstr>Example3</vt:lpstr>
      <vt:lpstr>Example2!DateEnd</vt:lpstr>
      <vt:lpstr>Example3!DateEnd1</vt:lpstr>
      <vt:lpstr>DateEnd2</vt:lpstr>
      <vt:lpstr>Example2!DateStart</vt:lpstr>
      <vt:lpstr>Example3!DateStart1</vt:lpstr>
      <vt:lpstr>DateStart2</vt:lpstr>
      <vt:lpstr>Example1!MinimumFee</vt:lpstr>
      <vt:lpstr>Example2!MinimumFee</vt:lpstr>
      <vt:lpstr>Example3!MinimumFee1</vt:lpstr>
      <vt:lpstr>MinimumFee2</vt:lpstr>
      <vt:lpstr>Example2!RangeDates</vt:lpstr>
      <vt:lpstr>Example3!RangeDates</vt:lpstr>
      <vt:lpstr>Example2!RangeDays</vt:lpstr>
      <vt:lpstr>Example3!RangeDays</vt:lpstr>
      <vt:lpstr>Example1!Rates</vt:lpstr>
      <vt:lpstr>Example2!Rates</vt:lpstr>
      <vt:lpstr>Example3!Rates1</vt:lpstr>
      <vt:lpstr>Rates2</vt:lpstr>
      <vt:lpstr>Example1!Thresholds</vt:lpstr>
      <vt:lpstr>Example2!Thresholds</vt:lpstr>
      <vt:lpstr>Example3!Thresholds1</vt:lpstr>
      <vt:lpstr>Thresholds2</vt:lpstr>
      <vt:lpstr>Example1!Volumes</vt:lpstr>
      <vt:lpstr>Example2!Volumes</vt:lpstr>
      <vt:lpstr>Example3!Volumes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Robet</dc:creator>
  <cp:lastModifiedBy>Gabriel Robet</cp:lastModifiedBy>
  <dcterms:created xsi:type="dcterms:W3CDTF">2018-12-19T08:28:19Z</dcterms:created>
  <dcterms:modified xsi:type="dcterms:W3CDTF">2018-12-19T09:14:23Z</dcterms:modified>
</cp:coreProperties>
</file>